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dragonnomada/Desktop/GitHub/diplomado-ia-asa/m101/"/>
    </mc:Choice>
  </mc:AlternateContent>
  <xr:revisionPtr revIDLastSave="0" documentId="13_ncr:1_{3CBF4D38-45C5-E044-82CD-308601F62991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Inicio" sheetId="1" r:id="rId1"/>
    <sheet name="F01 Ciclo" sheetId="2" r:id="rId2"/>
    <sheet name="F02 Creencias" sheetId="3" r:id="rId3"/>
    <sheet name="F03 Enfoques" sheetId="4" r:id="rId4"/>
    <sheet name="F04 Bayes" sheetId="5" r:id="rId5"/>
    <sheet name="F05 Utilidad" sheetId="6" r:id="rId6"/>
    <sheet name="F06 Umbral" sheetId="7" r:id="rId7"/>
    <sheet name="F07 Difusa" sheetId="8" r:id="rId8"/>
    <sheet name="F08 Diseño" sheetId="9" r:id="rId9"/>
    <sheet name="Clave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8" l="1"/>
  <c r="F12" i="8"/>
  <c r="F11" i="8"/>
  <c r="F10" i="8"/>
  <c r="F9" i="8"/>
  <c r="F8" i="8"/>
  <c r="D13" i="7"/>
  <c r="D15" i="7" s="1"/>
  <c r="E16" i="6"/>
  <c r="D14" i="6"/>
  <c r="D13" i="6"/>
  <c r="D13" i="5"/>
  <c r="D12" i="5"/>
  <c r="D14" i="5" s="1"/>
  <c r="G11" i="4"/>
  <c r="G10" i="4"/>
  <c r="G9" i="4"/>
  <c r="G8" i="4"/>
  <c r="F13" i="3"/>
  <c r="F12" i="3"/>
  <c r="F11" i="3"/>
  <c r="F10" i="3"/>
  <c r="F9" i="3"/>
  <c r="F8" i="3"/>
  <c r="D15" i="5" l="1"/>
</calcChain>
</file>

<file path=xl/sharedStrings.xml><?xml version="1.0" encoding="utf-8"?>
<sst xmlns="http://schemas.openxmlformats.org/spreadsheetml/2006/main" count="300" uniqueCount="255">
  <si>
    <t>M101  Fichas de trabajo</t>
  </si>
  <si>
    <t>Fundamentos de sistemas cognitivos · Actividades breves para mecanizar conceptos y discutir decisiones.</t>
  </si>
  <si>
    <t>Cómo usar el libro</t>
  </si>
  <si>
    <t>1</t>
  </si>
  <si>
    <t>Trabaja las fichas en orden o selecciona las que correspondan al tiempo disponible.</t>
  </si>
  <si>
    <t>2</t>
  </si>
  <si>
    <t>Escribe únicamente en las celdas color ámbar. Las celdas azules contienen resultados calculados.</t>
  </si>
  <si>
    <t>3</t>
  </si>
  <si>
    <t>Compara tus respuestas con la hoja “Clave” después de discutir con el equipo.</t>
  </si>
  <si>
    <t>4</t>
  </si>
  <si>
    <t>Los ejemplos de seguridad son didácticos. No sustituyen procedimientos ni normativa.</t>
  </si>
  <si>
    <t>Ruta sugerida</t>
  </si>
  <si>
    <t>Ficha</t>
  </si>
  <si>
    <t>Actividad</t>
  </si>
  <si>
    <t>Concepto</t>
  </si>
  <si>
    <t>Modalidad</t>
  </si>
  <si>
    <t>Tiempo</t>
  </si>
  <si>
    <t>Producto</t>
  </si>
  <si>
    <t>F01</t>
  </si>
  <si>
    <t>Ciclo cognitivo</t>
  </si>
  <si>
    <t>Percepción, memoria, decisión y acción</t>
  </si>
  <si>
    <t>Equipo</t>
  </si>
  <si>
    <t>8 min</t>
  </si>
  <si>
    <t>Mapa del ciclo</t>
  </si>
  <si>
    <t>F02</t>
  </si>
  <si>
    <t>Estado, observación y creencia</t>
  </si>
  <si>
    <t>Incertidumbre y representación</t>
  </si>
  <si>
    <t>Individual</t>
  </si>
  <si>
    <t>7 min</t>
  </si>
  <si>
    <t>Clasificación</t>
  </si>
  <si>
    <t>F03</t>
  </si>
  <si>
    <t>Enfoques cognitivos</t>
  </si>
  <si>
    <t>Simbólico, conexionista, probabilístico e híbrido</t>
  </si>
  <si>
    <t>Parejas</t>
  </si>
  <si>
    <t>Selección razonada</t>
  </si>
  <si>
    <t>F04</t>
  </si>
  <si>
    <t>Actualizar con Bayes</t>
  </si>
  <si>
    <t>Creencia previa, sensor y posterior</t>
  </si>
  <si>
    <t>10 min</t>
  </si>
  <si>
    <t>Cálculo</t>
  </si>
  <si>
    <t>F05</t>
  </si>
  <si>
    <t>Comparar utilidades</t>
  </si>
  <si>
    <t>EU y decisión bajo incertidumbre</t>
  </si>
  <si>
    <t>Recomendación</t>
  </si>
  <si>
    <t>F06</t>
  </si>
  <si>
    <t>Calcular un umbral</t>
  </si>
  <si>
    <t>Costos, riesgo y política</t>
  </si>
  <si>
    <t>Regla de decisión</t>
  </si>
  <si>
    <t>F07</t>
  </si>
  <si>
    <t>Probabilidad o gradualidad</t>
  </si>
  <si>
    <t>Probabilidad y lógica difusa</t>
  </si>
  <si>
    <t>F08</t>
  </si>
  <si>
    <t>Representar y optimizar</t>
  </si>
  <si>
    <t>Ontología, proceso y trazabilidad</t>
  </si>
  <si>
    <t>12 min</t>
  </si>
  <si>
    <t>Mini diseño</t>
  </si>
  <si>
    <t>F01  Completar el ciclo cognitivo</t>
  </si>
  <si>
    <t>Caso: un sistema supervisa el acceso a un laboratorio y debe responder a eventos inciertos.</t>
  </si>
  <si>
    <t>Instrucción: describe qué información necesitaría el sistema en cada etapa. Usa frases breves y observables.</t>
  </si>
  <si>
    <t>Etapa</t>
  </si>
  <si>
    <t>Pregunta guía</t>
  </si>
  <si>
    <t>Respuesta del equipo</t>
  </si>
  <si>
    <t>Dato o evidencia</t>
  </si>
  <si>
    <t>Riesgo de error</t>
  </si>
  <si>
    <t>Verificación</t>
  </si>
  <si>
    <t>Percibir</t>
  </si>
  <si>
    <t>¿Qué detecta?</t>
  </si>
  <si>
    <t>Pendiente</t>
  </si>
  <si>
    <t>Representar</t>
  </si>
  <si>
    <t>¿Cómo organiza lo detectado?</t>
  </si>
  <si>
    <t>Recordar</t>
  </si>
  <si>
    <t>¿Qué conserva del pasado?</t>
  </si>
  <si>
    <t>Razonar</t>
  </si>
  <si>
    <t>¿Qué hipótesis compara?</t>
  </si>
  <si>
    <t>Decidir</t>
  </si>
  <si>
    <t>¿Qué criterio usa?</t>
  </si>
  <si>
    <t>Actuar</t>
  </si>
  <si>
    <t>¿Qué cambia en el entorno?</t>
  </si>
  <si>
    <t>Aprender</t>
  </si>
  <si>
    <t>¿Qué retroalimentación incorpora?</t>
  </si>
  <si>
    <t>Cierre</t>
  </si>
  <si>
    <t>¿Qué etapa fallaría primero si el sensor entrega datos ambiguos?</t>
  </si>
  <si>
    <t>F02  Estado, observación, creencia o acción</t>
  </si>
  <si>
    <t>Distingue lo que ocurre en el mundo de lo que el sistema percibe o supone.</t>
  </si>
  <si>
    <t>Instrucción: clasifica cada enunciado. Después escribe una justificación de una línea.</t>
  </si>
  <si>
    <t>#</t>
  </si>
  <si>
    <t>Enunciado</t>
  </si>
  <si>
    <t>Tu clasificación</t>
  </si>
  <si>
    <t>Justificación</t>
  </si>
  <si>
    <t>Resultado</t>
  </si>
  <si>
    <t>La pista contiene un objeto extraño.</t>
  </si>
  <si>
    <t>El sensor emite una alerta.</t>
  </si>
  <si>
    <t>El sistema estima 26.9 % de contaminación.</t>
  </si>
  <si>
    <t>El operador solicita una inspección.</t>
  </si>
  <si>
    <t>La meta es mantener la operación segura.</t>
  </si>
  <si>
    <t>Una cámara muestra una zona oscura sobre el pavimento.</t>
  </si>
  <si>
    <t>F03  Elegir un enfoque cognitivo</t>
  </si>
  <si>
    <t>Relaciona el tipo de problema con el enfoque que mejor aporta una solución inicial.</t>
  </si>
  <si>
    <t>Opciones: Simbólico, Conexionista, Probabilístico o Híbrido. No existe una arquitectura universal.</t>
  </si>
  <si>
    <t>Caso</t>
  </si>
  <si>
    <t>Necesidad principal</t>
  </si>
  <si>
    <t>Enfoque elegido</t>
  </si>
  <si>
    <t>¿Por qué?</t>
  </si>
  <si>
    <t>Complemento útil</t>
  </si>
  <si>
    <t>Revisión</t>
  </si>
  <si>
    <t>A</t>
  </si>
  <si>
    <t>Aplicar reglas explícitas y auditables para autorizar acceso.</t>
  </si>
  <si>
    <t>B</t>
  </si>
  <si>
    <t>Reconocer objetos en imágenes con variación de luz.</t>
  </si>
  <si>
    <t>C</t>
  </si>
  <si>
    <t>Actualizar el riesgo cuando los sensores son imperfectos.</t>
  </si>
  <si>
    <t>D</t>
  </si>
  <si>
    <t>Combinar visión, reglas, incertidumbre y supervisión humana.</t>
  </si>
  <si>
    <t>Síntesis</t>
  </si>
  <si>
    <t>¿Qué pierde una solución puramente simbólica en el caso B?</t>
  </si>
  <si>
    <t>F04  Actualizar una creencia con Bayes</t>
  </si>
  <si>
    <t>Modifica los tres parámetros y observa cómo cambia el posterior tras una alerta.</t>
  </si>
  <si>
    <t>Entradas editables</t>
  </si>
  <si>
    <t>Parámetro</t>
  </si>
  <si>
    <t>Símbolo</t>
  </si>
  <si>
    <t>Valor</t>
  </si>
  <si>
    <t>Probabilidad previa de contaminación</t>
  </si>
  <si>
    <t>P(C)</t>
  </si>
  <si>
    <t>Sensibilidad del sensor</t>
  </si>
  <si>
    <t>P(alerta|C)</t>
  </si>
  <si>
    <t>Tasa de falsos positivos</t>
  </si>
  <si>
    <t>P(alerta|L)</t>
  </si>
  <si>
    <t>Probabilidad de pista libre</t>
  </si>
  <si>
    <t>P(L)</t>
  </si>
  <si>
    <t>Alertas verdaderas esperadas</t>
  </si>
  <si>
    <t>P(alerta|C)P(C)</t>
  </si>
  <si>
    <t>Alertas falsas esperadas</t>
  </si>
  <si>
    <t>P(alerta|L)P(L)</t>
  </si>
  <si>
    <t>Posterior tras una alerta</t>
  </si>
  <si>
    <t>P(C|alerta)</t>
  </si>
  <si>
    <t>Reto: sube los falsos positivos a 15 %. Antes de cambiar el valor, predice si el posterior subirá o bajará.</t>
  </si>
  <si>
    <t>Mi predicción</t>
  </si>
  <si>
    <t>Explicación</t>
  </si>
  <si>
    <t>F05  Comparar utilidad esperada</t>
  </si>
  <si>
    <t>EU significa utilidad esperada: probabilidad por consecuencia, sumada para todos los estados.</t>
  </si>
  <si>
    <t>Supuestos editables</t>
  </si>
  <si>
    <t>Dato</t>
  </si>
  <si>
    <t>Descripción</t>
  </si>
  <si>
    <t>p</t>
  </si>
  <si>
    <t>U(Liberar,L)</t>
  </si>
  <si>
    <t>Liberar si la pista está libre</t>
  </si>
  <si>
    <t>U(Liberar,C)</t>
  </si>
  <si>
    <t>Liberar si existe contaminación</t>
  </si>
  <si>
    <t>U(Inspeccionar)</t>
  </si>
  <si>
    <t>Inspeccionar en cualquier estado</t>
  </si>
  <si>
    <t>Comparación</t>
  </si>
  <si>
    <t>EU(Liberar)</t>
  </si>
  <si>
    <t>(1−p)U(Liberar,L)+pU(Liberar,C)</t>
  </si>
  <si>
    <t>EU(Inspeccionar)</t>
  </si>
  <si>
    <t>Costo conocido</t>
  </si>
  <si>
    <t>Tu decisión</t>
  </si>
  <si>
    <t>Selecciona la acción con mayor utilidad</t>
  </si>
  <si>
    <t>Explica por qué EU no es una predicción de lo que ocurrirá literalmente.</t>
  </si>
  <si>
    <t>F06  Encontrar el umbral de decisión</t>
  </si>
  <si>
    <t>Calcula la probabilidad máxima de contaminación compatible con liberar bajo estas utilidades.</t>
  </si>
  <si>
    <t>Regla: liberar cuando EU(Liberar) &gt; EU(Inspeccionar). Mantén U(Liberar,L) &gt; U(Inspeccionar) &gt; U(Liberar,C).</t>
  </si>
  <si>
    <t>Utilidad</t>
  </si>
  <si>
    <t>Significado</t>
  </si>
  <si>
    <t>Beneficio si está libre</t>
  </si>
  <si>
    <t>Pérdida si está contaminada</t>
  </si>
  <si>
    <t>Costo de inspección</t>
  </si>
  <si>
    <t>Umbral</t>
  </si>
  <si>
    <t>p* = [U(Liberar,L)−U(Inspeccionar)] / [U(Liberar,L)−U(Liberar,C)]</t>
  </si>
  <si>
    <t>Posterior actual</t>
  </si>
  <si>
    <t>Política sugerida</t>
  </si>
  <si>
    <t>Comparación con el umbral</t>
  </si>
  <si>
    <t>Reto: cambia el costo de inspección a −30. ¿Cómo cambia el umbral? Explica el mecanismo, no sólo el número.</t>
  </si>
  <si>
    <t>F07  Probabilidad o lógica difusa</t>
  </si>
  <si>
    <t>Clasifica si la frase expresa incertidumbre sobre un hecho o gradualidad de un concepto.</t>
  </si>
  <si>
    <t>Probabilidad: no sabemos si el hecho ocurre. Lógica difusa: el concepto puede cumplirse en cierto grado.</t>
  </si>
  <si>
    <t>Tipo</t>
  </si>
  <si>
    <t>Variable o evento</t>
  </si>
  <si>
    <t>Hay 20 % de probabilidad de lluvia.</t>
  </si>
  <si>
    <t>La visibilidad es baja con grado 0.8.</t>
  </si>
  <si>
    <t>El sensor tiene 5 % de falsos positivos.</t>
  </si>
  <si>
    <t>La pista está moderadamente congestionada.</t>
  </si>
  <si>
    <t>Existe 3 % de probabilidad de falla.</t>
  </si>
  <si>
    <t>La temperatura es ligeramente alta.</t>
  </si>
  <si>
    <t>F08  Representar y optimizar un proceso</t>
  </si>
  <si>
    <t>Diseña una solución mínima y trazable para el caso de inspección de pista.</t>
  </si>
  <si>
    <t>A. Construye cinco triples de conocimiento</t>
  </si>
  <si>
    <t>Formato: sujeto — relación — objeto. Ejemplo: Sensor S1 — observa — Pista 09.</t>
  </si>
  <si>
    <t>Sujeto</t>
  </si>
  <si>
    <t>Relación</t>
  </si>
  <si>
    <t>Objeto</t>
  </si>
  <si>
    <t>B. Define el ciclo de mejora</t>
  </si>
  <si>
    <t>Problema</t>
  </si>
  <si>
    <t>Señal</t>
  </si>
  <si>
    <t>Decisión</t>
  </si>
  <si>
    <t>Acción</t>
  </si>
  <si>
    <t>Métrica</t>
  </si>
  <si>
    <t>Retroalimentación</t>
  </si>
  <si>
    <t>C. Verifica la gobernanza</t>
  </si>
  <si>
    <t>Regla o restricción</t>
  </si>
  <si>
    <t>¿Qué no puede decidir el modelo por sí solo?</t>
  </si>
  <si>
    <t>Responsable</t>
  </si>
  <si>
    <t>¿Quién autoriza la acción?</t>
  </si>
  <si>
    <t>Evidencia</t>
  </si>
  <si>
    <t>¿Qué debe conservarse para auditoría?</t>
  </si>
  <si>
    <t>Escalamiento</t>
  </si>
  <si>
    <t>¿Cuándo debe intervenir una persona?</t>
  </si>
  <si>
    <t>Mejora</t>
  </si>
  <si>
    <t>¿Qué dato permitiría recalibrar el sistema?</t>
  </si>
  <si>
    <t>M101  Clave para facilitación</t>
  </si>
  <si>
    <t>F02 · Estado, observación, creencia o acción</t>
  </si>
  <si>
    <t>Estado</t>
  </si>
  <si>
    <t>Condición real del mundo</t>
  </si>
  <si>
    <t>Simbólico</t>
  </si>
  <si>
    <t>Reglas explícitas y auditables</t>
  </si>
  <si>
    <t>Probabilidad</t>
  </si>
  <si>
    <t>Incertidumbre sobre lluvia</t>
  </si>
  <si>
    <t>Observación</t>
  </si>
  <si>
    <t>Salida directa del sensor</t>
  </si>
  <si>
    <t>Conexionista</t>
  </si>
  <si>
    <t>Percepción a partir de patrones</t>
  </si>
  <si>
    <t>Lógica difusa</t>
  </si>
  <si>
    <t>Grado de visibilidad baja</t>
  </si>
  <si>
    <t>Creencia</t>
  </si>
  <si>
    <t>Estimación probabilística</t>
  </si>
  <si>
    <t>Probabilístico</t>
  </si>
  <si>
    <t>Actualización bajo incertidumbre</t>
  </si>
  <si>
    <t>Frecuencia de error</t>
  </si>
  <si>
    <t>Intervención elegida</t>
  </si>
  <si>
    <t>Híbrido</t>
  </si>
  <si>
    <t>Integración de varios enfoques y supervisión</t>
  </si>
  <si>
    <t>Grado de congestión</t>
  </si>
  <si>
    <t>Meta</t>
  </si>
  <si>
    <t>Criterio que orienta la conducta</t>
  </si>
  <si>
    <t>Incertidumbre sobre una falla</t>
  </si>
  <si>
    <t>Información obtenida por percepción</t>
  </si>
  <si>
    <t>Grado de temperatura alta</t>
  </si>
  <si>
    <t>F03 · Enfoques cognitivos</t>
  </si>
  <si>
    <t>F07 · Probabilidad o lógica difusa</t>
  </si>
  <si>
    <t>Resultado esperado</t>
  </si>
  <si>
    <t>Lectura</t>
  </si>
  <si>
    <t>Posterior con datos base</t>
  </si>
  <si>
    <t>La alerta eleva 2 % a aproximadamente 26.9 %.</t>
  </si>
  <si>
    <t>Posterior con falso positivo de 15 %</t>
  </si>
  <si>
    <t>Aumentan las alertas falsas y baja el posterior.</t>
  </si>
  <si>
    <t>Es menor que −8.</t>
  </si>
  <si>
    <t>Inspeccionar</t>
  </si>
  <si>
    <t>Se elige la mayor utilidad esperada.</t>
  </si>
  <si>
    <t>Umbral base</t>
  </si>
  <si>
    <t>Liberar sólo si p es menor a 1.78 %.</t>
  </si>
  <si>
    <t>Umbral con inspección = −30</t>
  </si>
  <si>
    <t>Una inspección más costosa eleva el umbral.</t>
  </si>
  <si>
    <t>Criterios</t>
  </si>
  <si>
    <t>Semántica + evidencia + autoridad</t>
  </si>
  <si>
    <t>Debe poder explicarse quién decidió, con qué datos y bajo qué regla.</t>
  </si>
  <si>
    <t>Tiempo total sugerido: 70 minutos.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</si>
</sst>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>
    <font>
      <sz val="11"/>
      <name val="Carlito"/>
    </font>
    <font>
      <sz val="10"/>
      <color rgb="FF17324D"/>
      <name val="Arial"/>
      <family val="2"/>
    </font>
    <font>
      <b/>
      <sz val="16"/>
      <color rgb="FF063A56"/>
      <name val="Arial"/>
      <family val="2"/>
    </font>
    <font>
      <i/>
      <sz val="10"/>
      <color rgb="FF60798A"/>
      <name val="Arial"/>
      <family val="2"/>
    </font>
    <font>
      <b/>
      <sz val="10"/>
      <color rgb="FFFFFFFF"/>
      <name val="Arial"/>
      <family val="2"/>
    </font>
    <font>
      <b/>
      <sz val="12"/>
      <color rgb="FF063A56"/>
      <name val="Arial"/>
      <family val="2"/>
    </font>
    <font>
      <b/>
      <sz val="14"/>
      <color rgb="FF063A56"/>
      <name val="Arial"/>
      <family val="2"/>
    </font>
    <font>
      <b/>
      <i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63A56"/>
      </patternFill>
    </fill>
    <fill>
      <patternFill patternType="solid">
        <fgColor rgb="FFDDF2F8"/>
      </patternFill>
    </fill>
    <fill>
      <patternFill patternType="solid">
        <fgColor rgb="FFFFF2CC"/>
      </patternFill>
    </fill>
  </fills>
  <borders count="48">
    <border>
      <left/>
      <right/>
      <top/>
      <bottom/>
      <diagonal/>
    </border>
    <border>
      <left/>
      <right/>
      <top/>
      <bottom style="medium">
        <color rgb="FFFFC857"/>
      </bottom>
      <diagonal/>
    </border>
    <border>
      <left style="thin">
        <color rgb="FF063A56"/>
      </left>
      <right/>
      <top style="thin">
        <color rgb="FF063A56"/>
      </top>
      <bottom style="thin">
        <color rgb="FF063A56"/>
      </bottom>
      <diagonal/>
    </border>
    <border>
      <left/>
      <right/>
      <top style="thin">
        <color rgb="FF063A56"/>
      </top>
      <bottom style="thin">
        <color rgb="FF063A56"/>
      </bottom>
      <diagonal/>
    </border>
    <border>
      <left/>
      <right style="thin">
        <color rgb="FF063A56"/>
      </right>
      <top style="thin">
        <color rgb="FF063A56"/>
      </top>
      <bottom style="thin">
        <color rgb="FF063A5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B9D7E3"/>
      </bottom>
      <diagonal/>
    </border>
    <border>
      <left/>
      <right/>
      <top style="thin">
        <color rgb="FFB9D7E3"/>
      </top>
      <bottom style="thin">
        <color rgb="FFB9D7E3"/>
      </bottom>
      <diagonal/>
    </border>
    <border>
      <left/>
      <right/>
      <top style="thin">
        <color rgb="FFB9D7E3"/>
      </top>
      <bottom/>
      <diagonal/>
    </border>
    <border>
      <left style="thin">
        <color rgb="FFB9D7E3"/>
      </left>
      <right/>
      <top style="thin">
        <color rgb="FFB9D7E3"/>
      </top>
      <bottom style="thin">
        <color rgb="FFB9D7E3"/>
      </bottom>
      <diagonal/>
    </border>
    <border>
      <left/>
      <right style="thin">
        <color rgb="FFB9D7E3"/>
      </right>
      <top style="thin">
        <color rgb="FFB9D7E3"/>
      </top>
      <bottom style="thin">
        <color rgb="FFB9D7E3"/>
      </bottom>
      <diagonal/>
    </border>
    <border>
      <left style="thin">
        <color rgb="FFFFC857"/>
      </left>
      <right/>
      <top style="thin">
        <color rgb="FFFFC857"/>
      </top>
      <bottom/>
      <diagonal/>
    </border>
    <border>
      <left/>
      <right/>
      <top style="thin">
        <color rgb="FFFFC857"/>
      </top>
      <bottom/>
      <diagonal/>
    </border>
    <border>
      <left/>
      <right style="thin">
        <color rgb="FFFFC857"/>
      </right>
      <top style="thin">
        <color rgb="FFFFC857"/>
      </top>
      <bottom/>
      <diagonal/>
    </border>
    <border>
      <left style="thin">
        <color rgb="FFFFC857"/>
      </left>
      <right/>
      <top/>
      <bottom/>
      <diagonal/>
    </border>
    <border>
      <left/>
      <right style="thin">
        <color rgb="FFFFC857"/>
      </right>
      <top/>
      <bottom/>
      <diagonal/>
    </border>
    <border>
      <left style="thin">
        <color rgb="FFFFC857"/>
      </left>
      <right/>
      <top/>
      <bottom style="thin">
        <color rgb="FFFFC857"/>
      </bottom>
      <diagonal/>
    </border>
    <border>
      <left/>
      <right/>
      <top/>
      <bottom style="thin">
        <color rgb="FFFFC857"/>
      </bottom>
      <diagonal/>
    </border>
    <border>
      <left/>
      <right style="thin">
        <color rgb="FFFFC857"/>
      </right>
      <top/>
      <bottom style="thin">
        <color rgb="FFFFC857"/>
      </bottom>
      <diagonal/>
    </border>
    <border>
      <left style="thin">
        <color rgb="FFFFC857"/>
      </left>
      <right style="thin">
        <color rgb="FFFFC857"/>
      </right>
      <top style="thin">
        <color rgb="FFFFC857"/>
      </top>
      <bottom/>
      <diagonal/>
    </border>
    <border>
      <left style="thin">
        <color rgb="FFFFC857"/>
      </left>
      <right style="thin">
        <color rgb="FFFFC857"/>
      </right>
      <top/>
      <bottom/>
      <diagonal/>
    </border>
    <border>
      <left style="thin">
        <color rgb="FFFFC857"/>
      </left>
      <right style="thin">
        <color rgb="FFFFC857"/>
      </right>
      <top/>
      <bottom style="thin">
        <color rgb="FFFFC857"/>
      </bottom>
      <diagonal/>
    </border>
    <border>
      <left style="thin">
        <color rgb="FFFFC857"/>
      </left>
      <right/>
      <top style="thin">
        <color rgb="FFFFC857"/>
      </top>
      <bottom style="thin">
        <color rgb="FFB9D7E3"/>
      </bottom>
      <diagonal/>
    </border>
    <border>
      <left/>
      <right/>
      <top style="thin">
        <color rgb="FFFFC857"/>
      </top>
      <bottom style="thin">
        <color rgb="FFB9D7E3"/>
      </bottom>
      <diagonal/>
    </border>
    <border>
      <left/>
      <right style="thin">
        <color rgb="FFFFC857"/>
      </right>
      <top style="thin">
        <color rgb="FFFFC857"/>
      </top>
      <bottom style="thin">
        <color rgb="FFB9D7E3"/>
      </bottom>
      <diagonal/>
    </border>
    <border>
      <left style="thin">
        <color rgb="FFFFC857"/>
      </left>
      <right style="thin">
        <color rgb="FFFFC857"/>
      </right>
      <top style="thin">
        <color rgb="FFFFC857"/>
      </top>
      <bottom style="thin">
        <color rgb="FFB9D7E3"/>
      </bottom>
      <diagonal/>
    </border>
    <border>
      <left style="thin">
        <color rgb="FFFFC857"/>
      </left>
      <right/>
      <top style="thin">
        <color rgb="FFB9D7E3"/>
      </top>
      <bottom style="thin">
        <color rgb="FFB9D7E3"/>
      </bottom>
      <diagonal/>
    </border>
    <border>
      <left/>
      <right style="thin">
        <color rgb="FFFFC857"/>
      </right>
      <top style="thin">
        <color rgb="FFB9D7E3"/>
      </top>
      <bottom style="thin">
        <color rgb="FFB9D7E3"/>
      </bottom>
      <diagonal/>
    </border>
    <border>
      <left style="thin">
        <color rgb="FFFFC857"/>
      </left>
      <right style="thin">
        <color rgb="FFFFC857"/>
      </right>
      <top style="thin">
        <color rgb="FFB9D7E3"/>
      </top>
      <bottom style="thin">
        <color rgb="FFB9D7E3"/>
      </bottom>
      <diagonal/>
    </border>
    <border>
      <left style="thin">
        <color rgb="FFFFC857"/>
      </left>
      <right/>
      <top style="thin">
        <color rgb="FFB9D7E3"/>
      </top>
      <bottom style="thin">
        <color rgb="FFFFC857"/>
      </bottom>
      <diagonal/>
    </border>
    <border>
      <left/>
      <right/>
      <top style="thin">
        <color rgb="FFB9D7E3"/>
      </top>
      <bottom style="thin">
        <color rgb="FFFFC857"/>
      </bottom>
      <diagonal/>
    </border>
    <border>
      <left/>
      <right style="thin">
        <color rgb="FFFFC857"/>
      </right>
      <top style="thin">
        <color rgb="FFB9D7E3"/>
      </top>
      <bottom style="thin">
        <color rgb="FFFFC857"/>
      </bottom>
      <diagonal/>
    </border>
    <border>
      <left style="thin">
        <color rgb="FFFFC857"/>
      </left>
      <right style="thin">
        <color rgb="FFFFC857"/>
      </right>
      <top style="thin">
        <color rgb="FFB9D7E3"/>
      </top>
      <bottom style="thin">
        <color rgb="FFFFC857"/>
      </bottom>
      <diagonal/>
    </border>
    <border>
      <left style="thin">
        <color rgb="FFB9D7E3"/>
      </left>
      <right style="thin">
        <color rgb="FFB9D7E3"/>
      </right>
      <top style="thin">
        <color rgb="FFB9D7E3"/>
      </top>
      <bottom/>
      <diagonal/>
    </border>
    <border>
      <left style="thin">
        <color rgb="FFB9D7E3"/>
      </left>
      <right style="thin">
        <color rgb="FFB9D7E3"/>
      </right>
      <top/>
      <bottom/>
      <diagonal/>
    </border>
    <border>
      <left style="thin">
        <color rgb="FFB9D7E3"/>
      </left>
      <right style="thin">
        <color rgb="FFB9D7E3"/>
      </right>
      <top/>
      <bottom style="thin">
        <color rgb="FFB9D7E3"/>
      </bottom>
      <diagonal/>
    </border>
    <border>
      <left style="thin">
        <color rgb="FFB9D7E3"/>
      </left>
      <right style="thin">
        <color rgb="FFB9D7E3"/>
      </right>
      <top style="thin">
        <color rgb="FFB9D7E3"/>
      </top>
      <bottom style="thin">
        <color rgb="FFB9D7E3"/>
      </bottom>
      <diagonal/>
    </border>
    <border>
      <left style="thin">
        <color rgb="FFFFC857"/>
      </left>
      <right/>
      <top style="thin">
        <color rgb="FFFFC857"/>
      </top>
      <bottom style="thin">
        <color rgb="FFFFC857"/>
      </bottom>
      <diagonal/>
    </border>
    <border>
      <left/>
      <right style="thin">
        <color rgb="FFFFC857"/>
      </right>
      <top style="thin">
        <color rgb="FFFFC857"/>
      </top>
      <bottom style="thin">
        <color rgb="FFFFC857"/>
      </bottom>
      <diagonal/>
    </border>
    <border>
      <left style="thin">
        <color rgb="FFFFC857"/>
      </left>
      <right style="thin">
        <color rgb="FFFFC857"/>
      </right>
      <top style="thin">
        <color rgb="FFFFC857"/>
      </top>
      <bottom style="thin">
        <color rgb="FFFFC857"/>
      </bottom>
      <diagonal/>
    </border>
    <border>
      <left style="thin">
        <color rgb="FFB9D7E3"/>
      </left>
      <right style="thin">
        <color rgb="FFB9D7E3"/>
      </right>
      <top style="thin">
        <color rgb="FFFFC857"/>
      </top>
      <bottom style="thin">
        <color rgb="FFFFC857"/>
      </bottom>
      <diagonal/>
    </border>
    <border>
      <left/>
      <right/>
      <top style="medium">
        <color rgb="FFFFC857"/>
      </top>
      <bottom/>
      <diagonal/>
    </border>
    <border>
      <left style="thin">
        <color rgb="FFB9D7E3"/>
      </left>
      <right/>
      <top style="thin">
        <color rgb="FF063A56"/>
      </top>
      <bottom style="thin">
        <color rgb="FFB9D7E3"/>
      </bottom>
      <diagonal/>
    </border>
    <border>
      <left/>
      <right/>
      <top style="thin">
        <color rgb="FF063A56"/>
      </top>
      <bottom style="thin">
        <color rgb="FFB9D7E3"/>
      </bottom>
      <diagonal/>
    </border>
    <border>
      <left/>
      <right style="thin">
        <color rgb="FFB9D7E3"/>
      </right>
      <top style="thin">
        <color rgb="FF063A56"/>
      </top>
      <bottom style="thin">
        <color rgb="FFB9D7E3"/>
      </bottom>
      <diagonal/>
    </border>
    <border>
      <left style="thin">
        <color rgb="FF063A56"/>
      </left>
      <right/>
      <top style="medium">
        <color rgb="FFFFC857"/>
      </top>
      <bottom style="thin">
        <color rgb="FF063A56"/>
      </bottom>
      <diagonal/>
    </border>
    <border>
      <left/>
      <right/>
      <top style="medium">
        <color rgb="FFFFC857"/>
      </top>
      <bottom style="thin">
        <color rgb="FF063A56"/>
      </bottom>
      <diagonal/>
    </border>
    <border>
      <left/>
      <right style="thin">
        <color rgb="FF063A56"/>
      </right>
      <top style="medium">
        <color rgb="FFFFC857"/>
      </top>
      <bottom style="thin">
        <color rgb="FF063A56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4" borderId="22" xfId="0" applyFont="1" applyFill="1" applyBorder="1" applyAlignment="1">
      <alignment vertical="center" wrapText="1"/>
    </xf>
    <xf numFmtId="0" fontId="1" fillId="4" borderId="23" xfId="0" applyFont="1" applyFill="1" applyBorder="1" applyAlignment="1">
      <alignment vertical="center" wrapText="1"/>
    </xf>
    <xf numFmtId="0" fontId="1" fillId="4" borderId="24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0" fontId="1" fillId="4" borderId="2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27" xfId="0" applyFont="1" applyFill="1" applyBorder="1" applyAlignment="1">
      <alignment vertical="center" wrapText="1"/>
    </xf>
    <xf numFmtId="0" fontId="1" fillId="4" borderId="28" xfId="0" applyFont="1" applyFill="1" applyBorder="1" applyAlignment="1">
      <alignment vertical="center" wrapText="1"/>
    </xf>
    <xf numFmtId="0" fontId="1" fillId="4" borderId="29" xfId="0" applyFont="1" applyFill="1" applyBorder="1" applyAlignment="1">
      <alignment vertical="center" wrapText="1"/>
    </xf>
    <xf numFmtId="0" fontId="1" fillId="4" borderId="30" xfId="0" applyFont="1" applyFill="1" applyBorder="1" applyAlignment="1">
      <alignment vertical="center" wrapText="1"/>
    </xf>
    <xf numFmtId="0" fontId="1" fillId="4" borderId="31" xfId="0" applyFont="1" applyFill="1" applyBorder="1" applyAlignment="1">
      <alignment vertical="center" wrapText="1"/>
    </xf>
    <xf numFmtId="0" fontId="1" fillId="4" borderId="32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vertical="center" wrapText="1"/>
    </xf>
    <xf numFmtId="0" fontId="1" fillId="4" borderId="13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vertical="center" wrapText="1"/>
    </xf>
    <xf numFmtId="0" fontId="1" fillId="3" borderId="36" xfId="0" applyFont="1" applyFill="1" applyBorder="1" applyAlignment="1">
      <alignment vertical="center" wrapText="1"/>
    </xf>
    <xf numFmtId="164" fontId="1" fillId="4" borderId="19" xfId="0" applyNumberFormat="1" applyFont="1" applyFill="1" applyBorder="1" applyAlignment="1">
      <alignment vertical="center"/>
    </xf>
    <xf numFmtId="164" fontId="1" fillId="4" borderId="20" xfId="0" applyNumberFormat="1" applyFont="1" applyFill="1" applyBorder="1" applyAlignment="1">
      <alignment vertical="center"/>
    </xf>
    <xf numFmtId="164" fontId="1" fillId="4" borderId="21" xfId="0" applyNumberFormat="1" applyFont="1" applyFill="1" applyBorder="1" applyAlignment="1">
      <alignment vertical="center"/>
    </xf>
    <xf numFmtId="164" fontId="1" fillId="3" borderId="33" xfId="0" applyNumberFormat="1" applyFont="1" applyFill="1" applyBorder="1" applyAlignment="1">
      <alignment vertical="center"/>
    </xf>
    <xf numFmtId="164" fontId="1" fillId="3" borderId="34" xfId="0" applyNumberFormat="1" applyFont="1" applyFill="1" applyBorder="1" applyAlignment="1">
      <alignment vertical="center"/>
    </xf>
    <xf numFmtId="164" fontId="6" fillId="3" borderId="35" xfId="0" applyNumberFormat="1" applyFont="1" applyFill="1" applyBorder="1" applyAlignment="1">
      <alignment vertical="center"/>
    </xf>
    <xf numFmtId="0" fontId="1" fillId="4" borderId="37" xfId="0" applyFont="1" applyFill="1" applyBorder="1" applyAlignment="1">
      <alignment vertical="center"/>
    </xf>
    <xf numFmtId="0" fontId="1" fillId="4" borderId="38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165" fontId="1" fillId="4" borderId="20" xfId="0" applyNumberFormat="1" applyFont="1" applyFill="1" applyBorder="1" applyAlignment="1">
      <alignment vertical="center"/>
    </xf>
    <xf numFmtId="165" fontId="1" fillId="4" borderId="21" xfId="0" applyNumberFormat="1" applyFont="1" applyFill="1" applyBorder="1" applyAlignment="1">
      <alignment vertical="center"/>
    </xf>
    <xf numFmtId="165" fontId="1" fillId="3" borderId="33" xfId="0" applyNumberFormat="1" applyFont="1" applyFill="1" applyBorder="1" applyAlignment="1">
      <alignment vertical="center"/>
    </xf>
    <xf numFmtId="165" fontId="1" fillId="3" borderId="35" xfId="0" applyNumberFormat="1" applyFont="1" applyFill="1" applyBorder="1" applyAlignment="1">
      <alignment vertical="center"/>
    </xf>
    <xf numFmtId="0" fontId="1" fillId="4" borderId="39" xfId="0" applyFont="1" applyFill="1" applyBorder="1" applyAlignment="1">
      <alignment vertical="center"/>
    </xf>
    <xf numFmtId="0" fontId="1" fillId="3" borderId="36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1" fillId="4" borderId="19" xfId="0" applyFont="1" applyFill="1" applyBorder="1" applyAlignment="1">
      <alignment vertical="center"/>
    </xf>
    <xf numFmtId="0" fontId="1" fillId="4" borderId="20" xfId="0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10" fontId="1" fillId="3" borderId="33" xfId="0" applyNumberFormat="1" applyFont="1" applyFill="1" applyBorder="1" applyAlignment="1">
      <alignment vertical="center"/>
    </xf>
    <xf numFmtId="164" fontId="1" fillId="3" borderId="40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0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10A7A2"/>
      </font>
      <fill>
        <patternFill patternType="solid">
          <bgColor rgb="FFDDF3EA"/>
        </patternFill>
      </fill>
    </dxf>
    <dxf>
      <font>
        <b/>
        <color rgb="FFE85D4A"/>
      </font>
      <fill>
        <patternFill patternType="solid">
          <bgColor rgb="FFFCE8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63A56"/>
  </sheetPr>
  <dimension ref="A1:H40"/>
  <sheetViews>
    <sheetView showGridLines="0" tabSelected="1" topLeftCell="A2" workbookViewId="0">
      <selection activeCell="K6" sqref="K6"/>
    </sheetView>
  </sheetViews>
  <sheetFormatPr baseColWidth="10" defaultColWidth="8.83203125" defaultRowHeight="14"/>
  <cols>
    <col min="1" max="1" width="3" customWidth="1"/>
    <col min="2" max="2" width="22" customWidth="1"/>
    <col min="3" max="3" width="18" customWidth="1"/>
    <col min="4" max="4" width="37.1640625" bestFit="1" customWidth="1"/>
    <col min="5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0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1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5" t="s">
        <v>2</v>
      </c>
      <c r="C5" s="6"/>
      <c r="D5" s="6"/>
      <c r="E5" s="6"/>
      <c r="F5" s="6"/>
      <c r="G5" s="7"/>
      <c r="H5" s="2"/>
    </row>
    <row r="6" spans="1:8" ht="28" customHeight="1">
      <c r="A6" s="2"/>
      <c r="B6" s="8" t="s">
        <v>3</v>
      </c>
      <c r="C6" s="9" t="s">
        <v>4</v>
      </c>
      <c r="D6" s="9"/>
      <c r="E6" s="9"/>
      <c r="F6" s="9"/>
      <c r="G6" s="9"/>
      <c r="H6" s="2"/>
    </row>
    <row r="7" spans="1:8" ht="28" customHeight="1">
      <c r="A7" s="2"/>
      <c r="B7" s="8" t="s">
        <v>5</v>
      </c>
      <c r="C7" s="9" t="s">
        <v>6</v>
      </c>
      <c r="D7" s="9"/>
      <c r="E7" s="9"/>
      <c r="F7" s="9"/>
      <c r="G7" s="9"/>
      <c r="H7" s="2"/>
    </row>
    <row r="8" spans="1:8" ht="28" customHeight="1">
      <c r="A8" s="2"/>
      <c r="B8" s="8" t="s">
        <v>7</v>
      </c>
      <c r="C8" s="9" t="s">
        <v>8</v>
      </c>
      <c r="D8" s="9"/>
      <c r="E8" s="9"/>
      <c r="F8" s="9"/>
      <c r="G8" s="9"/>
      <c r="H8" s="2"/>
    </row>
    <row r="9" spans="1:8" ht="28" customHeight="1">
      <c r="A9" s="2"/>
      <c r="B9" s="8" t="s">
        <v>9</v>
      </c>
      <c r="C9" s="9" t="s">
        <v>10</v>
      </c>
      <c r="D9" s="9"/>
      <c r="E9" s="9"/>
      <c r="F9" s="9"/>
      <c r="G9" s="9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5" t="s">
        <v>11</v>
      </c>
      <c r="C11" s="6"/>
      <c r="D11" s="6"/>
      <c r="E11" s="6"/>
      <c r="F11" s="6"/>
      <c r="G11" s="7"/>
      <c r="H11" s="2"/>
    </row>
    <row r="12" spans="1:8">
      <c r="A12" s="2"/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2"/>
    </row>
    <row r="13" spans="1:8" ht="27" customHeight="1">
      <c r="A13" s="2"/>
      <c r="B13" s="10" t="s">
        <v>18</v>
      </c>
      <c r="C13" s="11" t="s">
        <v>19</v>
      </c>
      <c r="D13" s="10" t="s">
        <v>20</v>
      </c>
      <c r="E13" s="10" t="s">
        <v>21</v>
      </c>
      <c r="F13" s="10" t="s">
        <v>22</v>
      </c>
      <c r="G13" s="10" t="s">
        <v>23</v>
      </c>
      <c r="H13" s="2"/>
    </row>
    <row r="14" spans="1:8" ht="27" customHeight="1">
      <c r="A14" s="2"/>
      <c r="B14" s="12" t="s">
        <v>24</v>
      </c>
      <c r="C14" s="13" t="s">
        <v>25</v>
      </c>
      <c r="D14" s="12" t="s">
        <v>26</v>
      </c>
      <c r="E14" s="12" t="s">
        <v>27</v>
      </c>
      <c r="F14" s="12" t="s">
        <v>28</v>
      </c>
      <c r="G14" s="12" t="s">
        <v>29</v>
      </c>
      <c r="H14" s="2"/>
    </row>
    <row r="15" spans="1:8" ht="27" customHeight="1">
      <c r="A15" s="2"/>
      <c r="B15" s="12" t="s">
        <v>30</v>
      </c>
      <c r="C15" s="13" t="s">
        <v>31</v>
      </c>
      <c r="D15" s="12" t="s">
        <v>32</v>
      </c>
      <c r="E15" s="12" t="s">
        <v>33</v>
      </c>
      <c r="F15" s="12" t="s">
        <v>22</v>
      </c>
      <c r="G15" s="12" t="s">
        <v>34</v>
      </c>
      <c r="H15" s="2"/>
    </row>
    <row r="16" spans="1:8" ht="27" customHeight="1">
      <c r="A16" s="2"/>
      <c r="B16" s="12" t="s">
        <v>35</v>
      </c>
      <c r="C16" s="13" t="s">
        <v>36</v>
      </c>
      <c r="D16" s="12" t="s">
        <v>37</v>
      </c>
      <c r="E16" s="12" t="s">
        <v>33</v>
      </c>
      <c r="F16" s="12" t="s">
        <v>38</v>
      </c>
      <c r="G16" s="12" t="s">
        <v>39</v>
      </c>
      <c r="H16" s="2"/>
    </row>
    <row r="17" spans="1:8" ht="27" customHeight="1">
      <c r="A17" s="2"/>
      <c r="B17" s="12" t="s">
        <v>40</v>
      </c>
      <c r="C17" s="13" t="s">
        <v>41</v>
      </c>
      <c r="D17" s="12" t="s">
        <v>42</v>
      </c>
      <c r="E17" s="12" t="s">
        <v>21</v>
      </c>
      <c r="F17" s="12" t="s">
        <v>38</v>
      </c>
      <c r="G17" s="12" t="s">
        <v>43</v>
      </c>
      <c r="H17" s="2"/>
    </row>
    <row r="18" spans="1:8" ht="27" customHeight="1">
      <c r="A18" s="2"/>
      <c r="B18" s="12" t="s">
        <v>44</v>
      </c>
      <c r="C18" s="13" t="s">
        <v>45</v>
      </c>
      <c r="D18" s="12" t="s">
        <v>46</v>
      </c>
      <c r="E18" s="12" t="s">
        <v>27</v>
      </c>
      <c r="F18" s="12" t="s">
        <v>22</v>
      </c>
      <c r="G18" s="12" t="s">
        <v>47</v>
      </c>
      <c r="H18" s="2"/>
    </row>
    <row r="19" spans="1:8" ht="27" customHeight="1">
      <c r="A19" s="2"/>
      <c r="B19" s="12" t="s">
        <v>48</v>
      </c>
      <c r="C19" s="13" t="s">
        <v>49</v>
      </c>
      <c r="D19" s="12" t="s">
        <v>50</v>
      </c>
      <c r="E19" s="12" t="s">
        <v>33</v>
      </c>
      <c r="F19" s="12" t="s">
        <v>28</v>
      </c>
      <c r="G19" s="12" t="s">
        <v>29</v>
      </c>
      <c r="H19" s="2"/>
    </row>
    <row r="20" spans="1:8" ht="27" customHeight="1">
      <c r="A20" s="2"/>
      <c r="B20" s="14" t="s">
        <v>51</v>
      </c>
      <c r="C20" s="15" t="s">
        <v>52</v>
      </c>
      <c r="D20" s="14" t="s">
        <v>53</v>
      </c>
      <c r="E20" s="14" t="s">
        <v>21</v>
      </c>
      <c r="F20" s="14" t="s">
        <v>54</v>
      </c>
      <c r="G20" s="14" t="s">
        <v>55</v>
      </c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 ht="32" customHeight="1">
      <c r="A22" s="2"/>
      <c r="B22" s="73" t="s">
        <v>254</v>
      </c>
      <c r="C22" s="74"/>
      <c r="D22" s="74"/>
      <c r="E22" s="74"/>
      <c r="F22" s="74"/>
      <c r="G22" s="75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B22:G2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A7A2"/>
  </sheetPr>
  <dimension ref="A1:H40"/>
  <sheetViews>
    <sheetView showGridLines="0" workbookViewId="0">
      <selection activeCell="B3" sqref="B3:G3"/>
    </sheetView>
  </sheetViews>
  <sheetFormatPr baseColWidth="10" defaultColWidth="8.83203125" defaultRowHeight="14"/>
  <cols>
    <col min="1" max="1" width="3" customWidth="1"/>
    <col min="2" max="2" width="22" customWidth="1"/>
    <col min="3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56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57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32" customHeight="1">
      <c r="A5" s="2"/>
      <c r="B5" s="73" t="s">
        <v>58</v>
      </c>
      <c r="C5" s="74"/>
      <c r="D5" s="74"/>
      <c r="E5" s="74"/>
      <c r="F5" s="74"/>
      <c r="G5" s="75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 ht="28">
      <c r="A7" s="2"/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2"/>
    </row>
    <row r="8" spans="1:8" ht="38" customHeight="1">
      <c r="A8" s="2"/>
      <c r="B8" s="11" t="s">
        <v>65</v>
      </c>
      <c r="C8" s="11" t="s">
        <v>66</v>
      </c>
      <c r="D8" s="16"/>
      <c r="E8" s="17"/>
      <c r="F8" s="18"/>
      <c r="G8" s="19" t="s">
        <v>67</v>
      </c>
      <c r="H8" s="2"/>
    </row>
    <row r="9" spans="1:8" ht="38" customHeight="1">
      <c r="A9" s="2"/>
      <c r="B9" s="13" t="s">
        <v>68</v>
      </c>
      <c r="C9" s="13" t="s">
        <v>69</v>
      </c>
      <c r="D9" s="20"/>
      <c r="E9" s="21"/>
      <c r="F9" s="22"/>
      <c r="G9" s="23" t="s">
        <v>67</v>
      </c>
      <c r="H9" s="2"/>
    </row>
    <row r="10" spans="1:8" ht="38" customHeight="1">
      <c r="A10" s="2"/>
      <c r="B10" s="13" t="s">
        <v>70</v>
      </c>
      <c r="C10" s="13" t="s">
        <v>71</v>
      </c>
      <c r="D10" s="20"/>
      <c r="E10" s="21"/>
      <c r="F10" s="22"/>
      <c r="G10" s="23" t="s">
        <v>67</v>
      </c>
      <c r="H10" s="2"/>
    </row>
    <row r="11" spans="1:8" ht="38" customHeight="1">
      <c r="A11" s="2"/>
      <c r="B11" s="13" t="s">
        <v>72</v>
      </c>
      <c r="C11" s="13" t="s">
        <v>73</v>
      </c>
      <c r="D11" s="20"/>
      <c r="E11" s="21"/>
      <c r="F11" s="22"/>
      <c r="G11" s="23" t="s">
        <v>67</v>
      </c>
      <c r="H11" s="2"/>
    </row>
    <row r="12" spans="1:8" ht="38" customHeight="1">
      <c r="A12" s="2"/>
      <c r="B12" s="13" t="s">
        <v>74</v>
      </c>
      <c r="C12" s="13" t="s">
        <v>75</v>
      </c>
      <c r="D12" s="20"/>
      <c r="E12" s="21"/>
      <c r="F12" s="22"/>
      <c r="G12" s="23" t="s">
        <v>67</v>
      </c>
      <c r="H12" s="2"/>
    </row>
    <row r="13" spans="1:8" ht="38" customHeight="1">
      <c r="A13" s="2"/>
      <c r="B13" s="13" t="s">
        <v>76</v>
      </c>
      <c r="C13" s="13" t="s">
        <v>77</v>
      </c>
      <c r="D13" s="20"/>
      <c r="E13" s="21"/>
      <c r="F13" s="22"/>
      <c r="G13" s="23" t="s">
        <v>67</v>
      </c>
      <c r="H13" s="2"/>
    </row>
    <row r="14" spans="1:8" ht="38" customHeight="1">
      <c r="A14" s="2"/>
      <c r="B14" s="15" t="s">
        <v>78</v>
      </c>
      <c r="C14" s="15" t="s">
        <v>79</v>
      </c>
      <c r="D14" s="24"/>
      <c r="E14" s="25"/>
      <c r="F14" s="26"/>
      <c r="G14" s="27" t="s">
        <v>67</v>
      </c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5" t="s">
        <v>80</v>
      </c>
      <c r="C16" s="6"/>
      <c r="D16" s="6"/>
      <c r="E16" s="6"/>
      <c r="F16" s="6"/>
      <c r="G16" s="7"/>
      <c r="H16" s="2"/>
    </row>
    <row r="17" spans="1:8" ht="42">
      <c r="A17" s="2"/>
      <c r="B17" s="9" t="s">
        <v>81</v>
      </c>
      <c r="C17" s="28"/>
      <c r="D17" s="29"/>
      <c r="E17" s="29"/>
      <c r="F17" s="29"/>
      <c r="G17" s="30"/>
      <c r="H17" s="2"/>
    </row>
    <row r="18" spans="1:8">
      <c r="A18" s="2"/>
      <c r="B18" s="9"/>
      <c r="C18" s="31"/>
      <c r="D18" s="32"/>
      <c r="E18" s="32"/>
      <c r="F18" s="32"/>
      <c r="G18" s="33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B5:G5"/>
    <mergeCell ref="B3:G3"/>
  </mergeCells>
  <dataValidations count="1">
    <dataValidation type="list" sqref="G8:G14" xr:uid="{00000000-0002-0000-0100-000000000000}">
      <formula1>"Pendiente,Revisado"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A7A2"/>
  </sheetPr>
  <dimension ref="A1:H40"/>
  <sheetViews>
    <sheetView showGridLines="0" workbookViewId="0">
      <selection activeCell="I9" sqref="I9"/>
    </sheetView>
  </sheetViews>
  <sheetFormatPr baseColWidth="10" defaultColWidth="8.83203125" defaultRowHeight="14"/>
  <cols>
    <col min="1" max="1" width="3" customWidth="1"/>
    <col min="2" max="2" width="22" customWidth="1"/>
    <col min="3" max="4" width="18" customWidth="1"/>
    <col min="5" max="5" width="28" customWidth="1"/>
    <col min="6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82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83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32" customHeight="1">
      <c r="A5" s="2"/>
      <c r="B5" s="73" t="s">
        <v>84</v>
      </c>
      <c r="C5" s="74"/>
      <c r="D5" s="74"/>
      <c r="E5" s="74"/>
      <c r="F5" s="74"/>
      <c r="G5" s="75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2"/>
      <c r="H7" s="2"/>
    </row>
    <row r="8" spans="1:8" ht="42" customHeight="1">
      <c r="A8" s="2"/>
      <c r="B8" s="10">
        <v>1</v>
      </c>
      <c r="C8" s="11" t="s">
        <v>90</v>
      </c>
      <c r="D8" s="16"/>
      <c r="E8" s="18"/>
      <c r="F8" s="34" t="str">
        <f>IF(D8=Clave!B4,"Correcto","Revisar")</f>
        <v>Revisar</v>
      </c>
      <c r="G8" s="2"/>
      <c r="H8" s="2"/>
    </row>
    <row r="9" spans="1:8" ht="42" customHeight="1">
      <c r="A9" s="2"/>
      <c r="B9" s="12">
        <v>2</v>
      </c>
      <c r="C9" s="13" t="s">
        <v>91</v>
      </c>
      <c r="D9" s="20"/>
      <c r="E9" s="22"/>
      <c r="F9" s="34" t="str">
        <f>IF(D9=Clave!B5,"Correcto","Revisar")</f>
        <v>Revisar</v>
      </c>
      <c r="G9" s="2"/>
      <c r="H9" s="2"/>
    </row>
    <row r="10" spans="1:8" ht="42" customHeight="1">
      <c r="A10" s="2"/>
      <c r="B10" s="12">
        <v>3</v>
      </c>
      <c r="C10" s="13" t="s">
        <v>92</v>
      </c>
      <c r="D10" s="20"/>
      <c r="E10" s="22"/>
      <c r="F10" s="34" t="str">
        <f>IF(D10=Clave!B6,"Correcto","Revisar")</f>
        <v>Revisar</v>
      </c>
      <c r="G10" s="2"/>
      <c r="H10" s="2"/>
    </row>
    <row r="11" spans="1:8" ht="42" customHeight="1">
      <c r="A11" s="2"/>
      <c r="B11" s="12">
        <v>4</v>
      </c>
      <c r="C11" s="13" t="s">
        <v>93</v>
      </c>
      <c r="D11" s="20"/>
      <c r="E11" s="22"/>
      <c r="F11" s="34" t="str">
        <f>IF(D11=Clave!B7,"Correcto","Revisar")</f>
        <v>Revisar</v>
      </c>
      <c r="G11" s="2"/>
      <c r="H11" s="2"/>
    </row>
    <row r="12" spans="1:8" ht="42" customHeight="1">
      <c r="A12" s="2"/>
      <c r="B12" s="12">
        <v>5</v>
      </c>
      <c r="C12" s="13" t="s">
        <v>94</v>
      </c>
      <c r="D12" s="20"/>
      <c r="E12" s="22"/>
      <c r="F12" s="34" t="str">
        <f>IF(D12=Clave!B8,"Correcto","Revisar")</f>
        <v>Revisar</v>
      </c>
      <c r="G12" s="2"/>
      <c r="H12" s="2"/>
    </row>
    <row r="13" spans="1:8" ht="42" customHeight="1">
      <c r="A13" s="2"/>
      <c r="B13" s="14">
        <v>6</v>
      </c>
      <c r="C13" s="15" t="s">
        <v>95</v>
      </c>
      <c r="D13" s="24"/>
      <c r="E13" s="26"/>
      <c r="F13" s="34" t="str">
        <f>IF(D13=Clave!B9,"Correcto","Revisar")</f>
        <v>Revisar</v>
      </c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B5:G5"/>
    <mergeCell ref="B3:G3"/>
  </mergeCells>
  <conditionalFormatting sqref="F8:F13">
    <cfRule type="containsText" dxfId="1" priority="1" operator="containsText" text="Revisar"/>
    <cfRule type="containsText" dxfId="0" priority="2" operator="containsText" text="Correcto"/>
  </conditionalFormatting>
  <dataValidations count="1">
    <dataValidation type="list" sqref="D8:D13" xr:uid="{00000000-0002-0000-0200-000000000000}">
      <formula1>"Estado,Observación,Creencia,Acción,Meta"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A7A2"/>
  </sheetPr>
  <dimension ref="A1:H40"/>
  <sheetViews>
    <sheetView showGridLines="0" workbookViewId="0">
      <selection activeCell="B5" sqref="B5:G5"/>
    </sheetView>
  </sheetViews>
  <sheetFormatPr baseColWidth="10" defaultColWidth="8.83203125" defaultRowHeight="14"/>
  <cols>
    <col min="1" max="1" width="3" customWidth="1"/>
    <col min="2" max="2" width="22" customWidth="1"/>
    <col min="3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96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97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32" customHeight="1">
      <c r="A5" s="2"/>
      <c r="B5" s="73" t="s">
        <v>98</v>
      </c>
      <c r="C5" s="74"/>
      <c r="D5" s="74"/>
      <c r="E5" s="74"/>
      <c r="F5" s="74"/>
      <c r="G5" s="75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1" t="s">
        <v>99</v>
      </c>
      <c r="C7" s="1" t="s">
        <v>100</v>
      </c>
      <c r="D7" s="1" t="s">
        <v>101</v>
      </c>
      <c r="E7" s="1" t="s">
        <v>102</v>
      </c>
      <c r="F7" s="1" t="s">
        <v>103</v>
      </c>
      <c r="G7" s="1" t="s">
        <v>104</v>
      </c>
      <c r="H7" s="2"/>
    </row>
    <row r="8" spans="1:8" ht="48" customHeight="1">
      <c r="A8" s="2"/>
      <c r="B8" s="11" t="s">
        <v>105</v>
      </c>
      <c r="C8" s="11" t="s">
        <v>106</v>
      </c>
      <c r="D8" s="16"/>
      <c r="E8" s="17"/>
      <c r="F8" s="18"/>
      <c r="G8" s="34" t="str">
        <f>IF(D8=Clave!E4,"Coincide","Discute")</f>
        <v>Discute</v>
      </c>
      <c r="H8" s="2"/>
    </row>
    <row r="9" spans="1:8" ht="48" customHeight="1">
      <c r="A9" s="2"/>
      <c r="B9" s="13" t="s">
        <v>107</v>
      </c>
      <c r="C9" s="13" t="s">
        <v>108</v>
      </c>
      <c r="D9" s="20"/>
      <c r="E9" s="21"/>
      <c r="F9" s="22"/>
      <c r="G9" s="34" t="str">
        <f>IF(D9=Clave!E5,"Coincide","Discute")</f>
        <v>Discute</v>
      </c>
      <c r="H9" s="2"/>
    </row>
    <row r="10" spans="1:8" ht="48" customHeight="1">
      <c r="A10" s="2"/>
      <c r="B10" s="13" t="s">
        <v>109</v>
      </c>
      <c r="C10" s="13" t="s">
        <v>110</v>
      </c>
      <c r="D10" s="20"/>
      <c r="E10" s="21"/>
      <c r="F10" s="22"/>
      <c r="G10" s="34" t="str">
        <f>IF(D10=Clave!E6,"Coincide","Discute")</f>
        <v>Discute</v>
      </c>
      <c r="H10" s="2"/>
    </row>
    <row r="11" spans="1:8" ht="48" customHeight="1">
      <c r="A11" s="2"/>
      <c r="B11" s="15" t="s">
        <v>111</v>
      </c>
      <c r="C11" s="15" t="s">
        <v>112</v>
      </c>
      <c r="D11" s="24"/>
      <c r="E11" s="25"/>
      <c r="F11" s="26"/>
      <c r="G11" s="34" t="str">
        <f>IF(D11=Clave!E7,"Coincide","Discute")</f>
        <v>Discute</v>
      </c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5" t="s">
        <v>113</v>
      </c>
      <c r="C13" s="6"/>
      <c r="D13" s="6"/>
      <c r="E13" s="6"/>
      <c r="F13" s="6"/>
      <c r="G13" s="7"/>
      <c r="H13" s="2"/>
    </row>
    <row r="14" spans="1:8" ht="42">
      <c r="A14" s="2"/>
      <c r="B14" s="9" t="s">
        <v>114</v>
      </c>
      <c r="C14" s="28"/>
      <c r="D14" s="29"/>
      <c r="E14" s="29"/>
      <c r="F14" s="29"/>
      <c r="G14" s="30"/>
      <c r="H14" s="2"/>
    </row>
    <row r="15" spans="1:8">
      <c r="A15" s="2"/>
      <c r="B15" s="9"/>
      <c r="C15" s="31"/>
      <c r="D15" s="32"/>
      <c r="E15" s="32"/>
      <c r="F15" s="32"/>
      <c r="G15" s="33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B3:G3"/>
    <mergeCell ref="B5:G5"/>
  </mergeCells>
  <dataValidations count="1">
    <dataValidation type="list" sqref="D8:D11" xr:uid="{00000000-0002-0000-0300-000000000000}">
      <formula1>"Simbólico,Conexionista,Probabilístico,Híbrido"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857"/>
  </sheetPr>
  <dimension ref="A1:H40"/>
  <sheetViews>
    <sheetView showGridLines="0" workbookViewId="0">
      <selection activeCell="K17" sqref="K17"/>
    </sheetView>
  </sheetViews>
  <sheetFormatPr baseColWidth="10" defaultColWidth="8.83203125" defaultRowHeight="14"/>
  <cols>
    <col min="1" max="1" width="3" customWidth="1"/>
    <col min="2" max="2" width="22" customWidth="1"/>
    <col min="3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115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116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5" t="s">
        <v>117</v>
      </c>
      <c r="C5" s="6"/>
      <c r="D5" s="6"/>
      <c r="E5" s="6"/>
      <c r="F5" s="6"/>
      <c r="G5" s="7"/>
      <c r="H5" s="2"/>
    </row>
    <row r="6" spans="1:8">
      <c r="A6" s="2"/>
      <c r="B6" s="1" t="s">
        <v>118</v>
      </c>
      <c r="C6" s="1" t="s">
        <v>119</v>
      </c>
      <c r="D6" s="1" t="s">
        <v>120</v>
      </c>
      <c r="E6" s="2"/>
      <c r="F6" s="2"/>
      <c r="G6" s="2"/>
      <c r="H6" s="2"/>
    </row>
    <row r="7" spans="1:8">
      <c r="A7" s="2"/>
      <c r="B7" s="2" t="s">
        <v>121</v>
      </c>
      <c r="C7" s="2" t="s">
        <v>122</v>
      </c>
      <c r="D7" s="35">
        <v>0.02</v>
      </c>
      <c r="E7" s="2"/>
      <c r="F7" s="2"/>
      <c r="G7" s="2"/>
      <c r="H7" s="2"/>
    </row>
    <row r="8" spans="1:8">
      <c r="A8" s="2"/>
      <c r="B8" s="2" t="s">
        <v>123</v>
      </c>
      <c r="C8" s="2" t="s">
        <v>124</v>
      </c>
      <c r="D8" s="36">
        <v>0.9</v>
      </c>
      <c r="E8" s="2"/>
      <c r="F8" s="2"/>
      <c r="G8" s="2"/>
      <c r="H8" s="2"/>
    </row>
    <row r="9" spans="1:8">
      <c r="A9" s="2"/>
      <c r="B9" s="2" t="s">
        <v>125</v>
      </c>
      <c r="C9" s="2" t="s">
        <v>126</v>
      </c>
      <c r="D9" s="37">
        <v>0.05</v>
      </c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5" t="s">
        <v>39</v>
      </c>
      <c r="C11" s="6"/>
      <c r="D11" s="6"/>
      <c r="E11" s="6"/>
      <c r="F11" s="6"/>
      <c r="G11" s="7"/>
      <c r="H11" s="2"/>
    </row>
    <row r="12" spans="1:8">
      <c r="A12" s="2"/>
      <c r="B12" s="2" t="s">
        <v>127</v>
      </c>
      <c r="C12" s="2" t="s">
        <v>128</v>
      </c>
      <c r="D12" s="38">
        <f>1-D7</f>
        <v>0.98</v>
      </c>
      <c r="E12" s="2"/>
      <c r="F12" s="2"/>
      <c r="G12" s="2"/>
      <c r="H12" s="2"/>
    </row>
    <row r="13" spans="1:8">
      <c r="A13" s="2"/>
      <c r="B13" s="2" t="s">
        <v>129</v>
      </c>
      <c r="C13" s="2" t="s">
        <v>130</v>
      </c>
      <c r="D13" s="39">
        <f>D7*D8</f>
        <v>1.8000000000000002E-2</v>
      </c>
      <c r="E13" s="2"/>
      <c r="F13" s="2"/>
      <c r="G13" s="2"/>
      <c r="H13" s="2"/>
    </row>
    <row r="14" spans="1:8">
      <c r="A14" s="2"/>
      <c r="B14" s="2" t="s">
        <v>131</v>
      </c>
      <c r="C14" s="2" t="s">
        <v>132</v>
      </c>
      <c r="D14" s="39">
        <f>D12*D9</f>
        <v>4.9000000000000002E-2</v>
      </c>
      <c r="E14" s="2"/>
      <c r="F14" s="2"/>
      <c r="G14" s="2"/>
      <c r="H14" s="2"/>
    </row>
    <row r="15" spans="1:8" ht="18">
      <c r="A15" s="2"/>
      <c r="B15" s="2" t="s">
        <v>133</v>
      </c>
      <c r="C15" s="2" t="s">
        <v>134</v>
      </c>
      <c r="D15" s="40">
        <f>D13/(D13+D14)</f>
        <v>0.26865671641791045</v>
      </c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 ht="32" customHeight="1">
      <c r="A17" s="2"/>
      <c r="B17" s="73" t="s">
        <v>135</v>
      </c>
      <c r="C17" s="74"/>
      <c r="D17" s="74"/>
      <c r="E17" s="74"/>
      <c r="F17" s="74"/>
      <c r="G17" s="75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 t="s">
        <v>136</v>
      </c>
      <c r="C19" s="41"/>
      <c r="D19" s="42"/>
      <c r="E19" s="2" t="s">
        <v>137</v>
      </c>
      <c r="F19" s="43"/>
      <c r="G19" s="44"/>
      <c r="H19" s="2"/>
    </row>
    <row r="20" spans="1:8">
      <c r="A20" s="2"/>
      <c r="B20" s="2"/>
      <c r="C20" s="2"/>
      <c r="D20" s="2"/>
      <c r="E20" s="2"/>
      <c r="F20" s="45"/>
      <c r="G20" s="46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B3:G3"/>
    <mergeCell ref="B17:G17"/>
  </mergeCells>
  <dataValidations count="2">
    <dataValidation type="decimal" sqref="D7:D9" xr:uid="{00000000-0002-0000-0400-000000000000}">
      <formula1>0</formula1>
      <formula2>1</formula2>
    </dataValidation>
    <dataValidation type="list" sqref="C19:D19" xr:uid="{00000000-0002-0000-0400-000001000000}">
      <formula1>"Sube,Baja,No cambia"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857"/>
  </sheetPr>
  <dimension ref="A1:H40"/>
  <sheetViews>
    <sheetView showGridLines="0" workbookViewId="0">
      <selection activeCell="F27" sqref="F27"/>
    </sheetView>
  </sheetViews>
  <sheetFormatPr baseColWidth="10" defaultColWidth="8.83203125" defaultRowHeight="14"/>
  <cols>
    <col min="1" max="1" width="3" customWidth="1"/>
    <col min="2" max="2" width="22" customWidth="1"/>
    <col min="3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138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139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5" t="s">
        <v>140</v>
      </c>
      <c r="C5" s="6"/>
      <c r="D5" s="6"/>
      <c r="E5" s="6"/>
      <c r="F5" s="6"/>
      <c r="G5" s="7"/>
      <c r="H5" s="2"/>
    </row>
    <row r="6" spans="1:8">
      <c r="A6" s="2"/>
      <c r="B6" s="1" t="s">
        <v>141</v>
      </c>
      <c r="C6" s="1" t="s">
        <v>142</v>
      </c>
      <c r="D6" s="1" t="s">
        <v>120</v>
      </c>
      <c r="E6" s="2"/>
      <c r="F6" s="2"/>
      <c r="G6" s="2"/>
      <c r="H6" s="2"/>
    </row>
    <row r="7" spans="1:8">
      <c r="A7" s="2"/>
      <c r="B7" s="2" t="s">
        <v>143</v>
      </c>
      <c r="C7" s="2" t="s">
        <v>134</v>
      </c>
      <c r="D7" s="35">
        <v>0.26900000000000002</v>
      </c>
      <c r="E7" s="2"/>
      <c r="F7" s="2"/>
      <c r="G7" s="2"/>
      <c r="H7" s="2"/>
    </row>
    <row r="8" spans="1:8">
      <c r="A8" s="2"/>
      <c r="B8" s="2" t="s">
        <v>144</v>
      </c>
      <c r="C8" s="2" t="s">
        <v>145</v>
      </c>
      <c r="D8" s="47">
        <v>10</v>
      </c>
      <c r="E8" s="2"/>
      <c r="F8" s="2"/>
      <c r="G8" s="2"/>
      <c r="H8" s="2"/>
    </row>
    <row r="9" spans="1:8">
      <c r="A9" s="2"/>
      <c r="B9" s="2" t="s">
        <v>146</v>
      </c>
      <c r="C9" s="2" t="s">
        <v>147</v>
      </c>
      <c r="D9" s="47">
        <v>-1000</v>
      </c>
      <c r="E9" s="2"/>
      <c r="F9" s="2"/>
      <c r="G9" s="2"/>
      <c r="H9" s="2"/>
    </row>
    <row r="10" spans="1:8">
      <c r="A10" s="2"/>
      <c r="B10" s="2" t="s">
        <v>148</v>
      </c>
      <c r="C10" s="2" t="s">
        <v>149</v>
      </c>
      <c r="D10" s="48">
        <v>-8</v>
      </c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5" t="s">
        <v>150</v>
      </c>
      <c r="C12" s="6"/>
      <c r="D12" s="6"/>
      <c r="E12" s="6"/>
      <c r="F12" s="6"/>
      <c r="G12" s="7"/>
      <c r="H12" s="2"/>
    </row>
    <row r="13" spans="1:8">
      <c r="A13" s="2"/>
      <c r="B13" s="2" t="s">
        <v>151</v>
      </c>
      <c r="C13" s="2" t="s">
        <v>152</v>
      </c>
      <c r="D13" s="49">
        <f>(1-D7)*D8+D7*D9</f>
        <v>-261.69</v>
      </c>
      <c r="E13" s="2"/>
      <c r="F13" s="2"/>
      <c r="G13" s="2"/>
      <c r="H13" s="2"/>
    </row>
    <row r="14" spans="1:8">
      <c r="A14" s="2"/>
      <c r="B14" s="2" t="s">
        <v>153</v>
      </c>
      <c r="C14" s="2" t="s">
        <v>154</v>
      </c>
      <c r="D14" s="50">
        <f>D10</f>
        <v>-8</v>
      </c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 t="s">
        <v>155</v>
      </c>
      <c r="C16" s="51" t="s">
        <v>156</v>
      </c>
      <c r="D16" s="51"/>
      <c r="E16" s="52" t="str">
        <f>IF(D16=IF(D13&gt;D14,"Liberar","Inspeccionar"),"Coherente","Revisar")</f>
        <v>Revisar</v>
      </c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 ht="42">
      <c r="A18" s="2"/>
      <c r="B18" s="9" t="s">
        <v>157</v>
      </c>
      <c r="C18" s="28"/>
      <c r="D18" s="29"/>
      <c r="E18" s="29"/>
      <c r="F18" s="29"/>
      <c r="G18" s="30"/>
      <c r="H18" s="2"/>
    </row>
    <row r="19" spans="1:8">
      <c r="A19" s="2"/>
      <c r="B19" s="9"/>
      <c r="C19" s="53"/>
      <c r="D19" s="54"/>
      <c r="E19" s="54"/>
      <c r="F19" s="54"/>
      <c r="G19" s="55"/>
      <c r="H19" s="2"/>
    </row>
    <row r="20" spans="1:8">
      <c r="A20" s="2"/>
      <c r="B20" s="9"/>
      <c r="C20" s="31"/>
      <c r="D20" s="32"/>
      <c r="E20" s="32"/>
      <c r="F20" s="32"/>
      <c r="G20" s="33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1">
    <mergeCell ref="B3:G3"/>
  </mergeCells>
  <dataValidations count="1">
    <dataValidation type="list" sqref="D16" xr:uid="{00000000-0002-0000-0500-000000000000}">
      <formula1>"Liberar,Inspeccionar"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857"/>
  </sheetPr>
  <dimension ref="A1:H40"/>
  <sheetViews>
    <sheetView showGridLines="0" workbookViewId="0">
      <selection activeCell="L20" sqref="L20"/>
    </sheetView>
  </sheetViews>
  <sheetFormatPr baseColWidth="10" defaultColWidth="8.83203125" defaultRowHeight="14"/>
  <cols>
    <col min="1" max="1" width="3" customWidth="1"/>
    <col min="2" max="2" width="22" customWidth="1"/>
    <col min="3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158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159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32" customHeight="1">
      <c r="A5" s="2"/>
      <c r="B5" s="73" t="s">
        <v>160</v>
      </c>
      <c r="C5" s="74"/>
      <c r="D5" s="74"/>
      <c r="E5" s="74"/>
      <c r="F5" s="74"/>
      <c r="G5" s="75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1" t="s">
        <v>161</v>
      </c>
      <c r="C7" s="1" t="s">
        <v>162</v>
      </c>
      <c r="D7" s="1" t="s">
        <v>120</v>
      </c>
      <c r="E7" s="2"/>
      <c r="F7" s="2"/>
      <c r="G7" s="2"/>
      <c r="H7" s="2"/>
    </row>
    <row r="8" spans="1:8">
      <c r="A8" s="2"/>
      <c r="B8" s="2" t="s">
        <v>144</v>
      </c>
      <c r="C8" s="2" t="s">
        <v>163</v>
      </c>
      <c r="D8" s="56">
        <v>10</v>
      </c>
      <c r="E8" s="2"/>
      <c r="F8" s="2"/>
      <c r="G8" s="2"/>
      <c r="H8" s="2"/>
    </row>
    <row r="9" spans="1:8">
      <c r="A9" s="2"/>
      <c r="B9" s="2" t="s">
        <v>146</v>
      </c>
      <c r="C9" s="2" t="s">
        <v>164</v>
      </c>
      <c r="D9" s="57">
        <v>-1000</v>
      </c>
      <c r="E9" s="2"/>
      <c r="F9" s="2"/>
      <c r="G9" s="2"/>
      <c r="H9" s="2"/>
    </row>
    <row r="10" spans="1:8">
      <c r="A10" s="2"/>
      <c r="B10" s="2" t="s">
        <v>148</v>
      </c>
      <c r="C10" s="2" t="s">
        <v>165</v>
      </c>
      <c r="D10" s="58">
        <v>-8</v>
      </c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5" t="s">
        <v>89</v>
      </c>
      <c r="C12" s="6"/>
      <c r="D12" s="6"/>
      <c r="E12" s="6"/>
      <c r="F12" s="6"/>
      <c r="G12" s="7"/>
      <c r="H12" s="2"/>
    </row>
    <row r="13" spans="1:8">
      <c r="A13" s="2"/>
      <c r="B13" s="2" t="s">
        <v>166</v>
      </c>
      <c r="C13" s="2" t="s">
        <v>167</v>
      </c>
      <c r="D13" s="59">
        <f>(D8-D10)/(D8-D9)</f>
        <v>1.782178217821782E-2</v>
      </c>
      <c r="E13" s="2"/>
      <c r="F13" s="2"/>
      <c r="G13" s="2"/>
      <c r="H13" s="2"/>
    </row>
    <row r="14" spans="1:8">
      <c r="A14" s="2"/>
      <c r="B14" s="2" t="s">
        <v>168</v>
      </c>
      <c r="C14" s="2" t="s">
        <v>134</v>
      </c>
      <c r="D14" s="60">
        <v>0.26900000000000002</v>
      </c>
      <c r="E14" s="2"/>
      <c r="F14" s="2"/>
      <c r="G14" s="2"/>
      <c r="H14" s="2"/>
    </row>
    <row r="15" spans="1:8">
      <c r="A15" s="2"/>
      <c r="B15" s="2" t="s">
        <v>169</v>
      </c>
      <c r="C15" s="2" t="s">
        <v>170</v>
      </c>
      <c r="D15" s="61" t="str">
        <f>IF(D14&lt;D13,"Liberar","Inspeccionar")</f>
        <v>Inspeccionar</v>
      </c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 ht="32" customHeight="1">
      <c r="A17" s="2"/>
      <c r="B17" s="73" t="s">
        <v>171</v>
      </c>
      <c r="C17" s="74"/>
      <c r="D17" s="74"/>
      <c r="E17" s="74"/>
      <c r="F17" s="74"/>
      <c r="G17" s="75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43"/>
      <c r="C19" s="62"/>
      <c r="D19" s="62"/>
      <c r="E19" s="62"/>
      <c r="F19" s="62"/>
      <c r="G19" s="44"/>
      <c r="H19" s="2"/>
    </row>
    <row r="20" spans="1:8">
      <c r="A20" s="2"/>
      <c r="B20" s="63"/>
      <c r="C20" s="64"/>
      <c r="D20" s="64"/>
      <c r="E20" s="64"/>
      <c r="F20" s="64"/>
      <c r="G20" s="65"/>
      <c r="H20" s="2"/>
    </row>
    <row r="21" spans="1:8">
      <c r="A21" s="2"/>
      <c r="B21" s="45"/>
      <c r="C21" s="66"/>
      <c r="D21" s="66"/>
      <c r="E21" s="66"/>
      <c r="F21" s="66"/>
      <c r="G21" s="46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3">
    <mergeCell ref="B3:G3"/>
    <mergeCell ref="B5:G5"/>
    <mergeCell ref="B17:G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0A7A2"/>
  </sheetPr>
  <dimension ref="A1:H40"/>
  <sheetViews>
    <sheetView showGridLines="0" workbookViewId="0">
      <selection activeCell="L11" sqref="L11"/>
    </sheetView>
  </sheetViews>
  <sheetFormatPr baseColWidth="10" defaultColWidth="8.83203125" defaultRowHeight="14"/>
  <cols>
    <col min="1" max="1" width="3" customWidth="1"/>
    <col min="2" max="2" width="22" customWidth="1"/>
    <col min="3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172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173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32" customHeight="1">
      <c r="A5" s="2"/>
      <c r="B5" s="73" t="s">
        <v>174</v>
      </c>
      <c r="C5" s="74"/>
      <c r="D5" s="74"/>
      <c r="E5" s="74"/>
      <c r="F5" s="74"/>
      <c r="G5" s="75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1" t="s">
        <v>85</v>
      </c>
      <c r="C7" s="1" t="s">
        <v>86</v>
      </c>
      <c r="D7" s="1" t="s">
        <v>175</v>
      </c>
      <c r="E7" s="1" t="s">
        <v>176</v>
      </c>
      <c r="F7" s="1" t="s">
        <v>104</v>
      </c>
      <c r="G7" s="2"/>
      <c r="H7" s="2"/>
    </row>
    <row r="8" spans="1:8" ht="40" customHeight="1">
      <c r="A8" s="2"/>
      <c r="B8" s="11">
        <v>1</v>
      </c>
      <c r="C8" s="11" t="s">
        <v>177</v>
      </c>
      <c r="D8" s="16"/>
      <c r="E8" s="18"/>
      <c r="F8" s="34" t="str">
        <f>IF(D8=Clave!H4,"Correcto","Revisar")</f>
        <v>Revisar</v>
      </c>
      <c r="G8" s="2"/>
      <c r="H8" s="2"/>
    </row>
    <row r="9" spans="1:8" ht="40" customHeight="1">
      <c r="A9" s="2"/>
      <c r="B9" s="13">
        <v>2</v>
      </c>
      <c r="C9" s="13" t="s">
        <v>178</v>
      </c>
      <c r="D9" s="20"/>
      <c r="E9" s="22"/>
      <c r="F9" s="34" t="str">
        <f>IF(D9=Clave!H5,"Correcto","Revisar")</f>
        <v>Revisar</v>
      </c>
      <c r="G9" s="2"/>
      <c r="H9" s="2"/>
    </row>
    <row r="10" spans="1:8" ht="40" customHeight="1">
      <c r="A10" s="2"/>
      <c r="B10" s="13">
        <v>3</v>
      </c>
      <c r="C10" s="13" t="s">
        <v>179</v>
      </c>
      <c r="D10" s="20"/>
      <c r="E10" s="22"/>
      <c r="F10" s="34" t="str">
        <f>IF(D10=Clave!H6,"Correcto","Revisar")</f>
        <v>Revisar</v>
      </c>
      <c r="G10" s="2"/>
      <c r="H10" s="2"/>
    </row>
    <row r="11" spans="1:8" ht="40" customHeight="1">
      <c r="A11" s="2"/>
      <c r="B11" s="13">
        <v>4</v>
      </c>
      <c r="C11" s="13" t="s">
        <v>180</v>
      </c>
      <c r="D11" s="20"/>
      <c r="E11" s="22"/>
      <c r="F11" s="34" t="str">
        <f>IF(D11=Clave!H7,"Correcto","Revisar")</f>
        <v>Revisar</v>
      </c>
      <c r="G11" s="2"/>
      <c r="H11" s="2"/>
    </row>
    <row r="12" spans="1:8" ht="40" customHeight="1">
      <c r="A12" s="2"/>
      <c r="B12" s="13">
        <v>5</v>
      </c>
      <c r="C12" s="13" t="s">
        <v>181</v>
      </c>
      <c r="D12" s="20"/>
      <c r="E12" s="22"/>
      <c r="F12" s="34" t="str">
        <f>IF(D12=Clave!H8,"Correcto","Revisar")</f>
        <v>Revisar</v>
      </c>
      <c r="G12" s="2"/>
      <c r="H12" s="2"/>
    </row>
    <row r="13" spans="1:8" ht="40" customHeight="1">
      <c r="A13" s="2"/>
      <c r="B13" s="15">
        <v>6</v>
      </c>
      <c r="C13" s="15" t="s">
        <v>182</v>
      </c>
      <c r="D13" s="24"/>
      <c r="E13" s="26"/>
      <c r="F13" s="34" t="str">
        <f>IF(D13=Clave!H9,"Correcto","Revisar")</f>
        <v>Revisar</v>
      </c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B5:G5"/>
    <mergeCell ref="B3:G3"/>
  </mergeCells>
  <dataValidations count="1">
    <dataValidation type="list" sqref="D8:D13" xr:uid="{00000000-0002-0000-0700-000000000000}">
      <formula1>"Probabilidad,Lógica difusa"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0A7A2"/>
  </sheetPr>
  <dimension ref="A1:H40"/>
  <sheetViews>
    <sheetView showGridLines="0" workbookViewId="0">
      <selection activeCell="G20" sqref="G20"/>
    </sheetView>
  </sheetViews>
  <sheetFormatPr baseColWidth="10" defaultColWidth="8.83203125" defaultRowHeight="14"/>
  <cols>
    <col min="1" max="1" width="3" customWidth="1"/>
    <col min="2" max="2" width="22" customWidth="1"/>
    <col min="3" max="3" width="19.6640625" bestFit="1" customWidth="1"/>
    <col min="4" max="7" width="18" customWidth="1"/>
    <col min="8" max="8" width="3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1" thickBot="1">
      <c r="A2" s="2"/>
      <c r="B2" s="3" t="s">
        <v>183</v>
      </c>
      <c r="C2" s="4"/>
      <c r="D2" s="4"/>
      <c r="E2" s="4"/>
      <c r="F2" s="4"/>
      <c r="G2" s="4"/>
      <c r="H2" s="2"/>
    </row>
    <row r="3" spans="1:8" ht="30" customHeight="1">
      <c r="A3" s="2"/>
      <c r="B3" s="76" t="s">
        <v>184</v>
      </c>
      <c r="C3" s="76"/>
      <c r="D3" s="76"/>
      <c r="E3" s="76"/>
      <c r="F3" s="76"/>
      <c r="G3" s="76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5" t="s">
        <v>185</v>
      </c>
      <c r="C5" s="6"/>
      <c r="D5" s="6"/>
      <c r="E5" s="6"/>
      <c r="F5" s="6"/>
      <c r="G5" s="7"/>
      <c r="H5" s="2"/>
    </row>
    <row r="6" spans="1:8" ht="32" customHeight="1">
      <c r="A6" s="2"/>
      <c r="B6" s="77" t="s">
        <v>186</v>
      </c>
      <c r="C6" s="78"/>
      <c r="D6" s="78"/>
      <c r="E6" s="78"/>
      <c r="F6" s="78"/>
      <c r="G6" s="79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1" t="s">
        <v>187</v>
      </c>
      <c r="C8" s="1" t="s">
        <v>188</v>
      </c>
      <c r="D8" s="1" t="s">
        <v>189</v>
      </c>
      <c r="E8" s="2"/>
      <c r="F8" s="2"/>
      <c r="G8" s="2"/>
      <c r="H8" s="2"/>
    </row>
    <row r="9" spans="1:8" ht="28" customHeight="1">
      <c r="A9" s="2"/>
      <c r="B9" s="43"/>
      <c r="C9" s="62"/>
      <c r="D9" s="44"/>
      <c r="E9" s="2"/>
      <c r="F9" s="2"/>
      <c r="G9" s="2"/>
      <c r="H9" s="2"/>
    </row>
    <row r="10" spans="1:8" ht="28" customHeight="1">
      <c r="A10" s="2"/>
      <c r="B10" s="63"/>
      <c r="C10" s="64"/>
      <c r="D10" s="65"/>
      <c r="E10" s="2"/>
      <c r="F10" s="2"/>
      <c r="G10" s="2"/>
      <c r="H10" s="2"/>
    </row>
    <row r="11" spans="1:8" ht="28" customHeight="1">
      <c r="A11" s="2"/>
      <c r="B11" s="63"/>
      <c r="C11" s="64"/>
      <c r="D11" s="65"/>
      <c r="E11" s="2"/>
      <c r="F11" s="2"/>
      <c r="G11" s="2"/>
      <c r="H11" s="2"/>
    </row>
    <row r="12" spans="1:8" ht="28" customHeight="1">
      <c r="A12" s="2"/>
      <c r="B12" s="63"/>
      <c r="C12" s="64"/>
      <c r="D12" s="65"/>
      <c r="E12" s="2"/>
      <c r="F12" s="2"/>
      <c r="G12" s="2"/>
      <c r="H12" s="2"/>
    </row>
    <row r="13" spans="1:8" ht="28" customHeight="1">
      <c r="A13" s="2"/>
      <c r="B13" s="45"/>
      <c r="C13" s="66"/>
      <c r="D13" s="46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5" t="s">
        <v>190</v>
      </c>
      <c r="C15" s="6"/>
      <c r="D15" s="6"/>
      <c r="E15" s="6"/>
      <c r="F15" s="6"/>
      <c r="G15" s="7"/>
      <c r="H15" s="2"/>
    </row>
    <row r="16" spans="1:8">
      <c r="A16" s="2"/>
      <c r="B16" s="1" t="s">
        <v>191</v>
      </c>
      <c r="C16" s="1" t="s">
        <v>192</v>
      </c>
      <c r="D16" s="1" t="s">
        <v>193</v>
      </c>
      <c r="E16" s="1" t="s">
        <v>194</v>
      </c>
      <c r="F16" s="1" t="s">
        <v>195</v>
      </c>
      <c r="G16" s="1" t="s">
        <v>196</v>
      </c>
      <c r="H16" s="2"/>
    </row>
    <row r="17" spans="1:8" ht="45" customHeight="1">
      <c r="A17" s="2"/>
      <c r="B17" s="28"/>
      <c r="C17" s="29"/>
      <c r="D17" s="29"/>
      <c r="E17" s="29"/>
      <c r="F17" s="29"/>
      <c r="G17" s="30"/>
      <c r="H17" s="2"/>
    </row>
    <row r="18" spans="1:8" ht="45" customHeight="1">
      <c r="A18" s="2"/>
      <c r="B18" s="53"/>
      <c r="C18" s="54"/>
      <c r="D18" s="54"/>
      <c r="E18" s="54"/>
      <c r="F18" s="54"/>
      <c r="G18" s="55"/>
      <c r="H18" s="2"/>
    </row>
    <row r="19" spans="1:8" ht="45" customHeight="1">
      <c r="A19" s="2"/>
      <c r="B19" s="31"/>
      <c r="C19" s="32"/>
      <c r="D19" s="32"/>
      <c r="E19" s="32"/>
      <c r="F19" s="32"/>
      <c r="G19" s="33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5" t="s">
        <v>197</v>
      </c>
      <c r="C21" s="6"/>
      <c r="D21" s="6"/>
      <c r="E21" s="6"/>
      <c r="F21" s="6"/>
      <c r="G21" s="7"/>
      <c r="H21" s="2"/>
    </row>
    <row r="22" spans="1:8" ht="38" customHeight="1">
      <c r="A22" s="2"/>
      <c r="B22" s="9" t="s">
        <v>198</v>
      </c>
      <c r="C22" s="9" t="s">
        <v>199</v>
      </c>
      <c r="D22" s="28"/>
      <c r="E22" s="29"/>
      <c r="F22" s="29"/>
      <c r="G22" s="30"/>
      <c r="H22" s="2"/>
    </row>
    <row r="23" spans="1:8" ht="38" customHeight="1">
      <c r="A23" s="2"/>
      <c r="B23" s="9" t="s">
        <v>200</v>
      </c>
      <c r="C23" s="9" t="s">
        <v>201</v>
      </c>
      <c r="D23" s="53"/>
      <c r="E23" s="54"/>
      <c r="F23" s="54"/>
      <c r="G23" s="55"/>
      <c r="H23" s="2"/>
    </row>
    <row r="24" spans="1:8" ht="38" customHeight="1">
      <c r="A24" s="2"/>
      <c r="B24" s="9" t="s">
        <v>202</v>
      </c>
      <c r="C24" s="9" t="s">
        <v>203</v>
      </c>
      <c r="D24" s="53"/>
      <c r="E24" s="54"/>
      <c r="F24" s="54"/>
      <c r="G24" s="55"/>
      <c r="H24" s="2"/>
    </row>
    <row r="25" spans="1:8" ht="38" customHeight="1">
      <c r="A25" s="2"/>
      <c r="B25" s="9" t="s">
        <v>204</v>
      </c>
      <c r="C25" s="9" t="s">
        <v>205</v>
      </c>
      <c r="D25" s="53"/>
      <c r="E25" s="54"/>
      <c r="F25" s="54"/>
      <c r="G25" s="55"/>
      <c r="H25" s="2"/>
    </row>
    <row r="26" spans="1:8" ht="38" customHeight="1">
      <c r="A26" s="2"/>
      <c r="B26" s="9" t="s">
        <v>206</v>
      </c>
      <c r="C26" s="9" t="s">
        <v>207</v>
      </c>
      <c r="D26" s="31"/>
      <c r="E26" s="32"/>
      <c r="F26" s="32"/>
      <c r="G26" s="33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B6:G6"/>
    <mergeCell ref="B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0798A"/>
  </sheetPr>
  <dimension ref="A1:I40"/>
  <sheetViews>
    <sheetView showGridLines="0" workbookViewId="0">
      <selection activeCell="I17" sqref="I17"/>
    </sheetView>
  </sheetViews>
  <sheetFormatPr baseColWidth="10" defaultColWidth="8.83203125" defaultRowHeight="14"/>
  <cols>
    <col min="1" max="1" width="3" customWidth="1"/>
    <col min="2" max="2" width="22" customWidth="1"/>
    <col min="3" max="4" width="18" customWidth="1"/>
    <col min="5" max="5" width="37.5" customWidth="1"/>
    <col min="6" max="7" width="18" customWidth="1"/>
    <col min="8" max="8" width="11" bestFit="1" customWidth="1"/>
    <col min="9" max="9" width="24.33203125" bestFit="1" customWidth="1"/>
  </cols>
  <sheetData>
    <row r="1" spans="1:9">
      <c r="A1" s="2"/>
      <c r="B1" s="2"/>
      <c r="C1" s="2"/>
      <c r="D1" s="2"/>
      <c r="E1" s="2"/>
      <c r="F1" s="2"/>
      <c r="G1" s="2"/>
      <c r="H1" s="2"/>
      <c r="I1" s="67"/>
    </row>
    <row r="2" spans="1:9" ht="21" thickBot="1">
      <c r="A2" s="2"/>
      <c r="B2" s="3" t="s">
        <v>208</v>
      </c>
      <c r="C2" s="4"/>
      <c r="D2" s="4"/>
      <c r="E2" s="4"/>
      <c r="F2" s="4"/>
      <c r="G2" s="4"/>
      <c r="H2" s="2"/>
      <c r="I2" s="67"/>
    </row>
    <row r="3" spans="1:9" ht="30" customHeight="1">
      <c r="A3" s="2"/>
      <c r="B3" s="80" t="s">
        <v>209</v>
      </c>
      <c r="C3" s="81"/>
      <c r="D3" s="81"/>
      <c r="E3" s="81"/>
      <c r="F3" s="81"/>
      <c r="G3" s="82"/>
      <c r="H3" s="2"/>
      <c r="I3" s="67"/>
    </row>
    <row r="4" spans="1:9">
      <c r="A4" s="2"/>
      <c r="B4" s="10" t="s">
        <v>210</v>
      </c>
      <c r="C4" s="10" t="s">
        <v>211</v>
      </c>
      <c r="D4" s="10"/>
      <c r="E4" s="10" t="s">
        <v>212</v>
      </c>
      <c r="F4" s="10" t="s">
        <v>213</v>
      </c>
      <c r="G4" s="10"/>
      <c r="H4" s="10" t="s">
        <v>214</v>
      </c>
      <c r="I4" s="68" t="s">
        <v>215</v>
      </c>
    </row>
    <row r="5" spans="1:9">
      <c r="A5" s="2"/>
      <c r="B5" s="12" t="s">
        <v>216</v>
      </c>
      <c r="C5" s="12" t="s">
        <v>217</v>
      </c>
      <c r="D5" s="12"/>
      <c r="E5" s="12" t="s">
        <v>218</v>
      </c>
      <c r="F5" s="12" t="s">
        <v>219</v>
      </c>
      <c r="G5" s="12"/>
      <c r="H5" s="12" t="s">
        <v>220</v>
      </c>
      <c r="I5" s="69" t="s">
        <v>221</v>
      </c>
    </row>
    <row r="6" spans="1:9">
      <c r="A6" s="2"/>
      <c r="B6" s="12" t="s">
        <v>222</v>
      </c>
      <c r="C6" s="12" t="s">
        <v>223</v>
      </c>
      <c r="D6" s="12"/>
      <c r="E6" s="12" t="s">
        <v>224</v>
      </c>
      <c r="F6" s="12" t="s">
        <v>225</v>
      </c>
      <c r="G6" s="12"/>
      <c r="H6" s="12" t="s">
        <v>214</v>
      </c>
      <c r="I6" s="69" t="s">
        <v>226</v>
      </c>
    </row>
    <row r="7" spans="1:9">
      <c r="A7" s="2"/>
      <c r="B7" s="12" t="s">
        <v>194</v>
      </c>
      <c r="C7" s="12" t="s">
        <v>227</v>
      </c>
      <c r="D7" s="12"/>
      <c r="E7" s="12" t="s">
        <v>228</v>
      </c>
      <c r="F7" s="12" t="s">
        <v>229</v>
      </c>
      <c r="G7" s="12"/>
      <c r="H7" s="12" t="s">
        <v>220</v>
      </c>
      <c r="I7" s="69" t="s">
        <v>230</v>
      </c>
    </row>
    <row r="8" spans="1:9">
      <c r="A8" s="2"/>
      <c r="B8" s="12" t="s">
        <v>231</v>
      </c>
      <c r="C8" s="12" t="s">
        <v>232</v>
      </c>
      <c r="D8" s="12"/>
      <c r="E8" s="12"/>
      <c r="F8" s="12"/>
      <c r="G8" s="12"/>
      <c r="H8" s="12" t="s">
        <v>214</v>
      </c>
      <c r="I8" s="69" t="s">
        <v>233</v>
      </c>
    </row>
    <row r="9" spans="1:9">
      <c r="A9" s="2"/>
      <c r="B9" s="14" t="s">
        <v>216</v>
      </c>
      <c r="C9" s="14" t="s">
        <v>234</v>
      </c>
      <c r="D9" s="14"/>
      <c r="E9" s="14"/>
      <c r="F9" s="14"/>
      <c r="G9" s="14"/>
      <c r="H9" s="14" t="s">
        <v>220</v>
      </c>
      <c r="I9" s="70" t="s">
        <v>235</v>
      </c>
    </row>
    <row r="10" spans="1:9">
      <c r="A10" s="2"/>
      <c r="B10" s="2"/>
      <c r="C10" s="2"/>
      <c r="D10" s="2"/>
      <c r="E10" s="2"/>
      <c r="F10" s="2"/>
      <c r="G10" s="2"/>
      <c r="H10" s="2"/>
      <c r="I10" s="67"/>
    </row>
    <row r="11" spans="1:9">
      <c r="A11" s="2"/>
      <c r="B11" s="5" t="s">
        <v>236</v>
      </c>
      <c r="C11" s="6"/>
      <c r="D11" s="6"/>
      <c r="E11" s="6"/>
      <c r="F11" s="6"/>
      <c r="G11" s="7"/>
      <c r="H11" s="2"/>
      <c r="I11" s="67"/>
    </row>
    <row r="12" spans="1:9">
      <c r="A12" s="2"/>
      <c r="B12" s="2"/>
      <c r="C12" s="2"/>
      <c r="D12" s="2"/>
      <c r="E12" s="2"/>
      <c r="F12" s="2"/>
      <c r="G12" s="2"/>
      <c r="H12" s="2"/>
      <c r="I12" s="67"/>
    </row>
    <row r="13" spans="1:9">
      <c r="A13" s="2"/>
      <c r="B13" s="5" t="s">
        <v>237</v>
      </c>
      <c r="C13" s="6"/>
      <c r="D13" s="6"/>
      <c r="E13" s="6"/>
      <c r="F13" s="6"/>
      <c r="G13" s="7"/>
      <c r="H13" s="2"/>
      <c r="I13" s="67"/>
    </row>
    <row r="14" spans="1:9">
      <c r="A14" s="2"/>
      <c r="B14" s="2"/>
      <c r="C14" s="2"/>
      <c r="D14" s="2"/>
      <c r="E14" s="2"/>
      <c r="F14" s="2"/>
      <c r="G14" s="2"/>
      <c r="H14" s="2"/>
      <c r="I14" s="67"/>
    </row>
    <row r="15" spans="1:9">
      <c r="A15" s="2"/>
      <c r="B15" s="1" t="s">
        <v>12</v>
      </c>
      <c r="C15" s="1" t="s">
        <v>238</v>
      </c>
      <c r="D15" s="1" t="s">
        <v>120</v>
      </c>
      <c r="E15" s="1" t="s">
        <v>239</v>
      </c>
      <c r="F15" s="1"/>
      <c r="G15" s="1"/>
      <c r="H15" s="2"/>
      <c r="I15" s="67"/>
    </row>
    <row r="16" spans="1:9" ht="32" customHeight="1">
      <c r="A16" s="2"/>
      <c r="B16" s="9" t="s">
        <v>35</v>
      </c>
      <c r="C16" s="9" t="s">
        <v>240</v>
      </c>
      <c r="D16" s="71">
        <v>0.2686567164</v>
      </c>
      <c r="E16" s="9" t="s">
        <v>241</v>
      </c>
      <c r="F16" s="9"/>
      <c r="G16" s="9"/>
      <c r="H16" s="2"/>
      <c r="I16" s="67"/>
    </row>
    <row r="17" spans="1:9" ht="32" customHeight="1">
      <c r="A17" s="2"/>
      <c r="B17" s="9" t="s">
        <v>35</v>
      </c>
      <c r="C17" s="9" t="s">
        <v>242</v>
      </c>
      <c r="D17" s="71">
        <v>0.1097560976</v>
      </c>
      <c r="E17" s="9" t="s">
        <v>243</v>
      </c>
      <c r="F17" s="9"/>
      <c r="G17" s="9"/>
      <c r="H17" s="2"/>
      <c r="I17" s="67"/>
    </row>
    <row r="18" spans="1:9" ht="32" customHeight="1">
      <c r="A18" s="2"/>
      <c r="B18" s="9" t="s">
        <v>40</v>
      </c>
      <c r="C18" s="9" t="s">
        <v>151</v>
      </c>
      <c r="D18" s="72">
        <v>-261.69</v>
      </c>
      <c r="E18" s="9" t="s">
        <v>244</v>
      </c>
      <c r="F18" s="9"/>
      <c r="G18" s="9"/>
      <c r="H18" s="2"/>
      <c r="I18" s="67"/>
    </row>
    <row r="19" spans="1:9" ht="32" customHeight="1">
      <c r="A19" s="2"/>
      <c r="B19" s="9" t="s">
        <v>40</v>
      </c>
      <c r="C19" s="9" t="s">
        <v>193</v>
      </c>
      <c r="D19" s="71" t="s">
        <v>245</v>
      </c>
      <c r="E19" s="9" t="s">
        <v>246</v>
      </c>
      <c r="F19" s="9"/>
      <c r="G19" s="9"/>
      <c r="H19" s="2"/>
      <c r="I19" s="67"/>
    </row>
    <row r="20" spans="1:9" ht="32" customHeight="1">
      <c r="A20" s="2"/>
      <c r="B20" s="9" t="s">
        <v>44</v>
      </c>
      <c r="C20" s="9" t="s">
        <v>247</v>
      </c>
      <c r="D20" s="71">
        <v>1.78217822E-2</v>
      </c>
      <c r="E20" s="9" t="s">
        <v>248</v>
      </c>
      <c r="F20" s="9"/>
      <c r="G20" s="9"/>
      <c r="H20" s="2"/>
      <c r="I20" s="67"/>
    </row>
    <row r="21" spans="1:9" ht="32" customHeight="1">
      <c r="A21" s="2"/>
      <c r="B21" s="9" t="s">
        <v>44</v>
      </c>
      <c r="C21" s="9" t="s">
        <v>249</v>
      </c>
      <c r="D21" s="71">
        <v>3.9603960399999999E-2</v>
      </c>
      <c r="E21" s="9" t="s">
        <v>250</v>
      </c>
      <c r="F21" s="9"/>
      <c r="G21" s="9"/>
      <c r="H21" s="2"/>
      <c r="I21" s="67"/>
    </row>
    <row r="22" spans="1:9" ht="32" customHeight="1">
      <c r="A22" s="2"/>
      <c r="B22" s="9" t="s">
        <v>51</v>
      </c>
      <c r="C22" s="9" t="s">
        <v>251</v>
      </c>
      <c r="D22" s="71" t="s">
        <v>252</v>
      </c>
      <c r="E22" s="9" t="s">
        <v>253</v>
      </c>
      <c r="F22" s="9"/>
      <c r="G22" s="9"/>
      <c r="H22" s="2"/>
      <c r="I22" s="67"/>
    </row>
    <row r="23" spans="1:9">
      <c r="A23" s="2"/>
      <c r="B23" s="2"/>
      <c r="C23" s="2"/>
      <c r="D23" s="2"/>
      <c r="E23" s="2"/>
      <c r="F23" s="2"/>
      <c r="G23" s="2"/>
      <c r="H23" s="2"/>
      <c r="I23" s="67"/>
    </row>
    <row r="24" spans="1:9">
      <c r="A24" s="2"/>
      <c r="B24" s="2"/>
      <c r="C24" s="2"/>
      <c r="D24" s="2"/>
      <c r="E24" s="2"/>
      <c r="F24" s="2"/>
      <c r="G24" s="2"/>
      <c r="H24" s="2"/>
      <c r="I24" s="67"/>
    </row>
    <row r="25" spans="1:9">
      <c r="A25" s="2"/>
      <c r="B25" s="2"/>
      <c r="C25" s="2"/>
      <c r="D25" s="2"/>
      <c r="E25" s="2"/>
      <c r="F25" s="2"/>
      <c r="G25" s="2"/>
      <c r="H25" s="2"/>
      <c r="I25" s="67"/>
    </row>
    <row r="26" spans="1:9">
      <c r="A26" s="2"/>
      <c r="B26" s="2"/>
      <c r="C26" s="2"/>
      <c r="D26" s="2"/>
      <c r="E26" s="2"/>
      <c r="F26" s="2"/>
      <c r="G26" s="2"/>
      <c r="H26" s="2"/>
      <c r="I26" s="67"/>
    </row>
    <row r="27" spans="1:9">
      <c r="A27" s="2"/>
      <c r="B27" s="2"/>
      <c r="C27" s="2"/>
      <c r="D27" s="2"/>
      <c r="E27" s="2"/>
      <c r="F27" s="2"/>
      <c r="G27" s="2"/>
      <c r="H27" s="2"/>
      <c r="I27" s="67"/>
    </row>
    <row r="28" spans="1:9">
      <c r="A28" s="2"/>
      <c r="B28" s="2"/>
      <c r="C28" s="2"/>
      <c r="D28" s="2"/>
      <c r="E28" s="2"/>
      <c r="F28" s="2"/>
      <c r="G28" s="2"/>
      <c r="H28" s="2"/>
      <c r="I28" s="67"/>
    </row>
    <row r="29" spans="1:9">
      <c r="A29" s="2"/>
      <c r="B29" s="2"/>
      <c r="C29" s="2"/>
      <c r="D29" s="2"/>
      <c r="E29" s="2"/>
      <c r="F29" s="2"/>
      <c r="G29" s="2"/>
      <c r="H29" s="2"/>
      <c r="I29" s="67"/>
    </row>
    <row r="30" spans="1:9">
      <c r="A30" s="2"/>
      <c r="B30" s="2"/>
      <c r="C30" s="2"/>
      <c r="D30" s="2"/>
      <c r="E30" s="2"/>
      <c r="F30" s="2"/>
      <c r="G30" s="2"/>
      <c r="H30" s="2"/>
      <c r="I30" s="67"/>
    </row>
    <row r="31" spans="1:9">
      <c r="A31" s="2"/>
      <c r="B31" s="2"/>
      <c r="C31" s="2"/>
      <c r="D31" s="2"/>
      <c r="E31" s="2"/>
      <c r="F31" s="2"/>
      <c r="G31" s="2"/>
      <c r="H31" s="2"/>
      <c r="I31" s="67"/>
    </row>
    <row r="32" spans="1:9">
      <c r="A32" s="2"/>
      <c r="B32" s="2"/>
      <c r="C32" s="2"/>
      <c r="D32" s="2"/>
      <c r="E32" s="2"/>
      <c r="F32" s="2"/>
      <c r="G32" s="2"/>
      <c r="H32" s="2"/>
      <c r="I32" s="67"/>
    </row>
    <row r="33" spans="1:9">
      <c r="A33" s="2"/>
      <c r="B33" s="2"/>
      <c r="C33" s="2"/>
      <c r="D33" s="2"/>
      <c r="E33" s="2"/>
      <c r="F33" s="2"/>
      <c r="G33" s="2"/>
      <c r="H33" s="2"/>
      <c r="I33" s="67"/>
    </row>
    <row r="34" spans="1:9">
      <c r="A34" s="2"/>
      <c r="B34" s="2"/>
      <c r="C34" s="2"/>
      <c r="D34" s="2"/>
      <c r="E34" s="2"/>
      <c r="F34" s="2"/>
      <c r="G34" s="2"/>
      <c r="H34" s="2"/>
      <c r="I34" s="67"/>
    </row>
    <row r="35" spans="1:9">
      <c r="A35" s="2"/>
      <c r="B35" s="2"/>
      <c r="C35" s="2"/>
      <c r="D35" s="2"/>
      <c r="E35" s="2"/>
      <c r="F35" s="2"/>
      <c r="G35" s="2"/>
      <c r="H35" s="2"/>
      <c r="I35" s="67"/>
    </row>
    <row r="36" spans="1:9">
      <c r="A36" s="2"/>
      <c r="B36" s="2"/>
      <c r="C36" s="2"/>
      <c r="D36" s="2"/>
      <c r="E36" s="2"/>
      <c r="F36" s="2"/>
      <c r="G36" s="2"/>
      <c r="H36" s="2"/>
      <c r="I36" s="67"/>
    </row>
    <row r="37" spans="1:9">
      <c r="A37" s="2"/>
      <c r="B37" s="2"/>
      <c r="C37" s="2"/>
      <c r="D37" s="2"/>
      <c r="E37" s="2"/>
      <c r="F37" s="2"/>
      <c r="G37" s="2"/>
      <c r="H37" s="2"/>
      <c r="I37" s="67"/>
    </row>
    <row r="38" spans="1:9">
      <c r="A38" s="2"/>
      <c r="B38" s="2"/>
      <c r="C38" s="2"/>
      <c r="D38" s="2"/>
      <c r="E38" s="2"/>
      <c r="F38" s="2"/>
      <c r="G38" s="2"/>
      <c r="H38" s="2"/>
      <c r="I38" s="67"/>
    </row>
    <row r="39" spans="1:9">
      <c r="A39" s="2"/>
      <c r="B39" s="2"/>
      <c r="C39" s="2"/>
      <c r="D39" s="2"/>
      <c r="E39" s="2"/>
      <c r="F39" s="2"/>
      <c r="G39" s="2"/>
      <c r="H39" s="2"/>
      <c r="I39" s="67"/>
    </row>
    <row r="40" spans="1:9">
      <c r="A40" s="2"/>
      <c r="B40" s="2"/>
      <c r="C40" s="2"/>
      <c r="D40" s="2"/>
      <c r="E40" s="2"/>
      <c r="F40" s="2"/>
      <c r="G40" s="2"/>
      <c r="H40" s="2"/>
      <c r="I40" s="67"/>
    </row>
  </sheetData>
  <sheetProtection algorithmName="SHA-512" hashValue="ac5WpOSDSRdThOj66AReBtxU12muh7AnjrNU7IpvN90sboI6ISL57h3jE4FiFMOu/mWFcIAW7yfzxx7+HNireQ==" saltValue="IBvOwv3fRyjfwvnvlKw2rg==" spinCount="100000" sheet="1" objects="1" scenarios="1"/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Inicio</vt:lpstr>
      <vt:lpstr>F01 Ciclo</vt:lpstr>
      <vt:lpstr>F02 Creencias</vt:lpstr>
      <vt:lpstr>F03 Enfoques</vt:lpstr>
      <vt:lpstr>F04 Bayes</vt:lpstr>
      <vt:lpstr>F05 Utilidad</vt:lpstr>
      <vt:lpstr>F06 Umbral</vt:lpstr>
      <vt:lpstr>F07 Difusa</vt:lpstr>
      <vt:lpstr>F08 Diseño</vt:lpstr>
      <vt:lpstr>Clave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Badillo Salas</cp:lastModifiedBy>
  <dcterms:modified xsi:type="dcterms:W3CDTF">2026-10-26T04:25:15Z</dcterms:modified>
</cp:coreProperties>
</file>