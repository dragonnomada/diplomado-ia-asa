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diplomado-ia-asa/m101/"/>
    </mc:Choice>
  </mc:AlternateContent>
  <xr:revisionPtr revIDLastSave="0" documentId="8_{9E931A41-4319-9E41-B198-B7AE8DDF2511}" xr6:coauthVersionLast="47" xr6:coauthVersionMax="47" xr10:uidLastSave="{00000000-0000-0000-0000-000000000000}"/>
  <bookViews>
    <workbookView xWindow="0" yWindow="0" windowWidth="28800" windowHeight="18000" xr2:uid="{AA822BD8-5A04-7041-AF26-DF96B10765C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" i="1" l="1"/>
  <c r="H26" i="1"/>
  <c r="H24" i="1"/>
  <c r="H23" i="1"/>
  <c r="H16" i="1"/>
  <c r="H15" i="1"/>
  <c r="H13" i="1"/>
  <c r="H12" i="1"/>
  <c r="E29" i="1"/>
  <c r="E28" i="1"/>
  <c r="E27" i="1"/>
  <c r="E26" i="1"/>
  <c r="E22" i="1"/>
  <c r="D22" i="1"/>
  <c r="E21" i="1"/>
  <c r="D21" i="1"/>
  <c r="F8" i="1"/>
  <c r="F7" i="1"/>
  <c r="E9" i="1"/>
  <c r="D9" i="1"/>
  <c r="G8" i="1"/>
  <c r="E15" i="1" l="1"/>
  <c r="E12" i="1"/>
  <c r="E16" i="1"/>
  <c r="E13" i="1"/>
</calcChain>
</file>

<file path=xl/sharedStrings.xml><?xml version="1.0" encoding="utf-8"?>
<sst xmlns="http://schemas.openxmlformats.org/spreadsheetml/2006/main" count="38" uniqueCount="31">
  <si>
    <t>Supervivencia en el Titanic</t>
  </si>
  <si>
    <t>Sobrevive / Sexo</t>
  </si>
  <si>
    <t>Hombre</t>
  </si>
  <si>
    <t>Mujer</t>
  </si>
  <si>
    <t>Sobrevive</t>
  </si>
  <si>
    <t>No Sobrevive</t>
  </si>
  <si>
    <t>s</t>
  </si>
  <si>
    <t>x</t>
  </si>
  <si>
    <t>h</t>
  </si>
  <si>
    <t>m</t>
  </si>
  <si>
    <t>P(h)</t>
  </si>
  <si>
    <t>P(m)</t>
  </si>
  <si>
    <t>P(s)</t>
  </si>
  <si>
    <t>P(x)</t>
  </si>
  <si>
    <t>P(h|s)</t>
  </si>
  <si>
    <t>P(m|s)</t>
  </si>
  <si>
    <t>PROBABILIDAD CONJUNTA</t>
  </si>
  <si>
    <t>P(h^s)</t>
  </si>
  <si>
    <t>P(h^x)</t>
  </si>
  <si>
    <t>P(m^s)</t>
  </si>
  <si>
    <t>P(m^x)</t>
  </si>
  <si>
    <t>P(A|B)=P(A^B)/P(B)</t>
  </si>
  <si>
    <t>P(h|x)</t>
  </si>
  <si>
    <t>P(m|x)</t>
  </si>
  <si>
    <t>P(s|h)</t>
  </si>
  <si>
    <t>Probabilidad condicional</t>
  </si>
  <si>
    <t>Regla de Bayes</t>
  </si>
  <si>
    <t>P(B|A) = P(A|B)P(A)/P(B)</t>
  </si>
  <si>
    <t>P(s|m)</t>
  </si>
  <si>
    <t>P(x|h)</t>
  </si>
  <si>
    <t>P(x|m)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</si>
</sst>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9" fontId="0" fillId="0" borderId="0" xfId="1" applyFont="1"/>
    <xf numFmtId="9" fontId="0" fillId="0" borderId="0" xfId="1" applyFont="1" applyBorder="1"/>
    <xf numFmtId="9" fontId="0" fillId="0" borderId="3" xfId="1" applyFont="1" applyBorder="1"/>
    <xf numFmtId="9" fontId="0" fillId="0" borderId="1" xfId="1" applyFont="1" applyBorder="1"/>
    <xf numFmtId="9" fontId="0" fillId="0" borderId="2" xfId="1" applyFont="1" applyBorder="1"/>
    <xf numFmtId="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926A-E901-C942-A344-BE10D5B67854}">
  <dimension ref="B3:H31"/>
  <sheetViews>
    <sheetView tabSelected="1" topLeftCell="A4" zoomScale="119" workbookViewId="0">
      <selection activeCell="J13" sqref="J13"/>
    </sheetView>
  </sheetViews>
  <sheetFormatPr baseColWidth="10" defaultRowHeight="16" x14ac:dyDescent="0.2"/>
  <cols>
    <col min="3" max="3" width="18.33203125" customWidth="1"/>
    <col min="8" max="8" width="20.33203125" bestFit="1" customWidth="1"/>
  </cols>
  <sheetData>
    <row r="3" spans="2:8" x14ac:dyDescent="0.2">
      <c r="C3" t="s">
        <v>0</v>
      </c>
    </row>
    <row r="5" spans="2:8" x14ac:dyDescent="0.2">
      <c r="D5" t="s">
        <v>8</v>
      </c>
      <c r="E5" t="s">
        <v>9</v>
      </c>
    </row>
    <row r="6" spans="2:8" x14ac:dyDescent="0.2">
      <c r="C6" t="s">
        <v>1</v>
      </c>
      <c r="D6" t="s">
        <v>2</v>
      </c>
      <c r="E6" t="s">
        <v>3</v>
      </c>
    </row>
    <row r="7" spans="2:8" x14ac:dyDescent="0.2">
      <c r="B7" t="s">
        <v>6</v>
      </c>
      <c r="C7" t="s">
        <v>4</v>
      </c>
      <c r="D7" s="1">
        <v>40</v>
      </c>
      <c r="E7" s="3">
        <v>250</v>
      </c>
      <c r="F7">
        <f>SUM(D7:E7)</f>
        <v>290</v>
      </c>
    </row>
    <row r="8" spans="2:8" ht="17" thickBot="1" x14ac:dyDescent="0.25">
      <c r="B8" t="s">
        <v>7</v>
      </c>
      <c r="C8" t="s">
        <v>5</v>
      </c>
      <c r="D8" s="2">
        <v>420</v>
      </c>
      <c r="E8" s="4">
        <v>70</v>
      </c>
      <c r="F8">
        <f>SUM(D8:E8)</f>
        <v>490</v>
      </c>
      <c r="G8">
        <f>SUM(D7:E8)</f>
        <v>780</v>
      </c>
    </row>
    <row r="9" spans="2:8" x14ac:dyDescent="0.2">
      <c r="D9">
        <f>SUM(D7:D8)</f>
        <v>460</v>
      </c>
      <c r="E9">
        <f>SUM(E7:E8)</f>
        <v>320</v>
      </c>
    </row>
    <row r="12" spans="2:8" x14ac:dyDescent="0.2">
      <c r="D12" t="s">
        <v>10</v>
      </c>
      <c r="E12" s="5">
        <f>D9/G8</f>
        <v>0.58974358974358976</v>
      </c>
      <c r="G12" t="s">
        <v>14</v>
      </c>
      <c r="H12" s="5">
        <f>E26/E12</f>
        <v>8.6956521739130432E-2</v>
      </c>
    </row>
    <row r="13" spans="2:8" x14ac:dyDescent="0.2">
      <c r="D13" t="s">
        <v>11</v>
      </c>
      <c r="E13" s="5">
        <f>E9/G8</f>
        <v>0.41025641025641024</v>
      </c>
      <c r="G13" t="s">
        <v>15</v>
      </c>
      <c r="H13" s="5">
        <f>E28/E13</f>
        <v>0.78125000000000011</v>
      </c>
    </row>
    <row r="15" spans="2:8" x14ac:dyDescent="0.2">
      <c r="D15" t="s">
        <v>12</v>
      </c>
      <c r="E15" s="5">
        <f>F7/G8</f>
        <v>0.37179487179487181</v>
      </c>
      <c r="G15" t="s">
        <v>22</v>
      </c>
      <c r="H15" s="5">
        <f>E27/E12</f>
        <v>0.91304347826086951</v>
      </c>
    </row>
    <row r="16" spans="2:8" x14ac:dyDescent="0.2">
      <c r="D16" t="s">
        <v>13</v>
      </c>
      <c r="E16" s="5">
        <f>F8/G8</f>
        <v>0.62820512820512819</v>
      </c>
      <c r="G16" t="s">
        <v>23</v>
      </c>
      <c r="H16" s="5">
        <f>E29/E13</f>
        <v>0.21875</v>
      </c>
    </row>
    <row r="19" spans="3:8" x14ac:dyDescent="0.2">
      <c r="D19" t="s">
        <v>8</v>
      </c>
      <c r="E19" t="s">
        <v>9</v>
      </c>
      <c r="H19" t="s">
        <v>25</v>
      </c>
    </row>
    <row r="20" spans="3:8" x14ac:dyDescent="0.2">
      <c r="C20" t="s">
        <v>1</v>
      </c>
      <c r="D20" t="s">
        <v>2</v>
      </c>
      <c r="E20" t="s">
        <v>3</v>
      </c>
      <c r="H20" t="s">
        <v>21</v>
      </c>
    </row>
    <row r="21" spans="3:8" x14ac:dyDescent="0.2">
      <c r="C21" t="s">
        <v>4</v>
      </c>
      <c r="D21" s="6">
        <f>D7/G8</f>
        <v>5.128205128205128E-2</v>
      </c>
      <c r="E21" s="7">
        <f>E7/G8</f>
        <v>0.32051282051282054</v>
      </c>
    </row>
    <row r="22" spans="3:8" ht="17" thickBot="1" x14ac:dyDescent="0.25">
      <c r="C22" t="s">
        <v>5</v>
      </c>
      <c r="D22" s="8">
        <f>D8/G8</f>
        <v>0.53846153846153844</v>
      </c>
      <c r="E22" s="9">
        <f>E8/G8</f>
        <v>8.9743589743589744E-2</v>
      </c>
    </row>
    <row r="23" spans="3:8" x14ac:dyDescent="0.2">
      <c r="G23" t="s">
        <v>24</v>
      </c>
      <c r="H23" s="5">
        <f>H12*E15/E12</f>
        <v>5.4820415879017016E-2</v>
      </c>
    </row>
    <row r="24" spans="3:8" x14ac:dyDescent="0.2">
      <c r="D24" t="s">
        <v>16</v>
      </c>
      <c r="G24" t="s">
        <v>28</v>
      </c>
      <c r="H24" s="5">
        <f>H13*E15/E13</f>
        <v>0.70800781250000011</v>
      </c>
    </row>
    <row r="26" spans="3:8" x14ac:dyDescent="0.2">
      <c r="D26" t="s">
        <v>17</v>
      </c>
      <c r="E26" s="10">
        <f>D21</f>
        <v>5.128205128205128E-2</v>
      </c>
      <c r="G26" t="s">
        <v>29</v>
      </c>
      <c r="H26" s="5">
        <f>H15*E16/E12</f>
        <v>0.97258979206049134</v>
      </c>
    </row>
    <row r="27" spans="3:8" x14ac:dyDescent="0.2">
      <c r="D27" t="s">
        <v>18</v>
      </c>
      <c r="E27" s="10">
        <f>D22</f>
        <v>0.53846153846153844</v>
      </c>
      <c r="G27" t="s">
        <v>30</v>
      </c>
      <c r="H27" s="5">
        <f>H16*E16/E13</f>
        <v>0.33496093750000006</v>
      </c>
    </row>
    <row r="28" spans="3:8" x14ac:dyDescent="0.2">
      <c r="D28" t="s">
        <v>19</v>
      </c>
      <c r="E28" s="10">
        <f>E21</f>
        <v>0.32051282051282054</v>
      </c>
    </row>
    <row r="29" spans="3:8" x14ac:dyDescent="0.2">
      <c r="D29" t="s">
        <v>20</v>
      </c>
      <c r="E29" s="10">
        <f>E22</f>
        <v>8.9743589743589744E-2</v>
      </c>
      <c r="H29" t="s">
        <v>26</v>
      </c>
    </row>
    <row r="31" spans="3:8" x14ac:dyDescent="0.2">
      <c r="H3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2026-10-26T18:43:38Z</dcterms:created>
  <dcterms:modified xsi:type="dcterms:W3CDTF">2026-10-26T19:03:04Z</dcterms:modified>
</cp:coreProperties>
</file>