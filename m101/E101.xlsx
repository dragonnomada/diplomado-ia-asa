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ragonnomada/Desktop/GitHub/diplomado-ia-asa/m101/"/>
    </mc:Choice>
  </mc:AlternateContent>
  <xr:revisionPtr revIDLastSave="0" documentId="13_ncr:1_{1E7BEBD6-2051-5F4C-861F-73DD44151538}" xr6:coauthVersionLast="47" xr6:coauthVersionMax="47" xr10:uidLastSave="{00000000-0000-0000-0000-000000000000}"/>
  <bookViews>
    <workbookView xWindow="0" yWindow="0" windowWidth="28800" windowHeight="18000" activeTab="1" xr2:uid="{AA822BD8-5A04-7041-AF26-DF96B10765CC}"/>
  </bookViews>
  <sheets>
    <sheet name="Titanic" sheetId="1" r:id="rId1"/>
    <sheet name="Pista Aere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9" i="2" l="1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28" i="2"/>
  <c r="K18" i="2"/>
  <c r="K17" i="2"/>
  <c r="H21" i="2"/>
  <c r="H20" i="2"/>
  <c r="E24" i="2"/>
  <c r="E23" i="2"/>
  <c r="E21" i="2"/>
  <c r="E20" i="2"/>
  <c r="H16" i="2"/>
  <c r="H15" i="2"/>
  <c r="H13" i="2"/>
  <c r="H12" i="2"/>
  <c r="E16" i="2"/>
  <c r="E15" i="2"/>
  <c r="F7" i="2"/>
  <c r="F6" i="2"/>
  <c r="E13" i="2"/>
  <c r="E12" i="2"/>
  <c r="E8" i="2"/>
  <c r="D8" i="2"/>
  <c r="E6" i="2"/>
  <c r="F8" i="2"/>
  <c r="F8" i="1"/>
  <c r="F7" i="1"/>
  <c r="E9" i="1"/>
  <c r="D9" i="1"/>
  <c r="G8" i="1"/>
  <c r="E21" i="1" l="1"/>
  <c r="E28" i="1" s="1"/>
  <c r="H13" i="1" s="1"/>
  <c r="H24" i="1" s="1"/>
  <c r="E22" i="1"/>
  <c r="E29" i="1" s="1"/>
  <c r="H16" i="1" s="1"/>
  <c r="H27" i="1" s="1"/>
  <c r="D22" i="1"/>
  <c r="E27" i="1" s="1"/>
  <c r="H15" i="1" s="1"/>
  <c r="H26" i="1" s="1"/>
  <c r="D21" i="1"/>
  <c r="E26" i="1" s="1"/>
  <c r="E15" i="1"/>
  <c r="E12" i="1"/>
  <c r="E16" i="1"/>
  <c r="E13" i="1"/>
  <c r="H12" i="1" l="1"/>
  <c r="H23" i="1" s="1"/>
</calcChain>
</file>

<file path=xl/sharedStrings.xml><?xml version="1.0" encoding="utf-8"?>
<sst xmlns="http://schemas.openxmlformats.org/spreadsheetml/2006/main" count="96" uniqueCount="85">
  <si>
    <t>Supervivencia en el Titanic</t>
  </si>
  <si>
    <t>Sobrevive / Sexo</t>
  </si>
  <si>
    <t>Hombre</t>
  </si>
  <si>
    <t>Mujer</t>
  </si>
  <si>
    <t>Sobrevive</t>
  </si>
  <si>
    <t>No Sobrevive</t>
  </si>
  <si>
    <t>s</t>
  </si>
  <si>
    <t>x</t>
  </si>
  <si>
    <t>h</t>
  </si>
  <si>
    <t>m</t>
  </si>
  <si>
    <t>P(h)</t>
  </si>
  <si>
    <t>P(m)</t>
  </si>
  <si>
    <t>P(s)</t>
  </si>
  <si>
    <t>P(x)</t>
  </si>
  <si>
    <t>P(h|s)</t>
  </si>
  <si>
    <t>P(m|s)</t>
  </si>
  <si>
    <t>PROBABILIDAD CONJUNTA</t>
  </si>
  <si>
    <t>P(h^s)</t>
  </si>
  <si>
    <t>P(h^x)</t>
  </si>
  <si>
    <t>P(m^s)</t>
  </si>
  <si>
    <t>P(m^x)</t>
  </si>
  <si>
    <t>P(A|B)=P(A^B)/P(B)</t>
  </si>
  <si>
    <t>P(h|x)</t>
  </si>
  <si>
    <t>P(m|x)</t>
  </si>
  <si>
    <t>P(s|h)</t>
  </si>
  <si>
    <t>Probabilidad condicional</t>
  </si>
  <si>
    <t>Regla de Bayes</t>
  </si>
  <si>
    <t>P(B|A) = P(A|B)P(A)/P(B)</t>
  </si>
  <si>
    <t>P(s|m)</t>
  </si>
  <si>
    <t>P(x|h)</t>
  </si>
  <si>
    <t>P(x|m)</t>
  </si>
  <si>
    <t>Liberar una pista aerea</t>
  </si>
  <si>
    <t>Sin alerta</t>
  </si>
  <si>
    <t>Alerta</t>
  </si>
  <si>
    <t>Libre</t>
  </si>
  <si>
    <t>Contaminada</t>
  </si>
  <si>
    <t>P(C)</t>
  </si>
  <si>
    <t>C</t>
  </si>
  <si>
    <t>L</t>
  </si>
  <si>
    <t>X</t>
  </si>
  <si>
    <t>A</t>
  </si>
  <si>
    <t>P(L)</t>
  </si>
  <si>
    <t>P(X)</t>
  </si>
  <si>
    <t>P(A)</t>
  </si>
  <si>
    <t>P(C^A)</t>
  </si>
  <si>
    <t>P(C^X)</t>
  </si>
  <si>
    <t>P(L^A)</t>
  </si>
  <si>
    <t>P(L^X)</t>
  </si>
  <si>
    <t>Probabilidad Marginal</t>
  </si>
  <si>
    <t>Probabilidad Conjunta</t>
  </si>
  <si>
    <t>Probabilidad Condicional</t>
  </si>
  <si>
    <t>Probabilidad Inversa (Bayes)</t>
  </si>
  <si>
    <t>P(A|C)</t>
  </si>
  <si>
    <t>P(A|L)</t>
  </si>
  <si>
    <t>P(X|C)</t>
  </si>
  <si>
    <t>P(X|L)</t>
  </si>
  <si>
    <t>P(A|B) = P(A^B) / P(B)</t>
  </si>
  <si>
    <t>P(B|A) = P(A|B) P(B) / P(A)</t>
  </si>
  <si>
    <t>P(B|A) = P(A|B) P(B) / S(A + B)</t>
  </si>
  <si>
    <t>P(C|A)</t>
  </si>
  <si>
    <t>P(L|A)</t>
  </si>
  <si>
    <t>Modelo de Utilidad Esperada (EU)</t>
  </si>
  <si>
    <t>Acciones</t>
  </si>
  <si>
    <t>LIBERAR</t>
  </si>
  <si>
    <t>INSPECCIONAR</t>
  </si>
  <si>
    <t>Estado</t>
  </si>
  <si>
    <t>La alarma se activa y hay que tomar una acción</t>
  </si>
  <si>
    <t>EU(LIBERAR)</t>
  </si>
  <si>
    <t>EU(INSPECCIONAR)</t>
  </si>
  <si>
    <t>* ESTO APLICA SOLAMENTE SOBRE MODELOS DE INCERTIDUMBRE (CUANDO NO HAY REGLAS EXPLÍCITAS PARA EVITAR IMPASSES)</t>
  </si>
  <si>
    <t>P(L|A) * U1 + P(C|A) * U2</t>
  </si>
  <si>
    <t>P(L|A) * V1 + P(C|A) * V2</t>
  </si>
  <si>
    <t>RIESGO</t>
  </si>
  <si>
    <t>ESFUERZO</t>
  </si>
  <si>
    <t>UN BALANCE EFECTIVO ENTRE LA INFORMACIÓN DISPONIBLE</t>
  </si>
  <si>
    <t>MAXIMIZAR LA UTILIDAD</t>
  </si>
  <si>
    <t>MINIMIZAR EL RIESGO Y ESFUERZO</t>
  </si>
  <si>
    <t>p</t>
  </si>
  <si>
    <t>(1 - p) * U1 + p * U2</t>
  </si>
  <si>
    <t>(1 - p) * U1 + p * U2 &gt; -8</t>
  </si>
  <si>
    <t>p = P(C | A)</t>
  </si>
  <si>
    <t>U1 - p * U1 + p * U2 &gt; -8</t>
  </si>
  <si>
    <t>p(U2 - U1) &gt; -8 - U1</t>
  </si>
  <si>
    <t>p &gt;</t>
  </si>
  <si>
    <t>p &gt; -(8 + U1) / (U2 - U1)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</si>
</sst>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6" formatCode="0.000%"/>
    <numFmt numFmtId="168" formatCode="0.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9" fontId="0" fillId="0" borderId="0" xfId="1" applyFont="1"/>
    <xf numFmtId="9" fontId="0" fillId="0" borderId="0" xfId="1" applyFont="1" applyBorder="1"/>
    <xf numFmtId="9" fontId="0" fillId="0" borderId="3" xfId="1" applyFont="1" applyBorder="1"/>
    <xf numFmtId="9" fontId="0" fillId="0" borderId="1" xfId="1" applyFont="1" applyBorder="1"/>
    <xf numFmtId="9" fontId="0" fillId="0" borderId="2" xfId="1" applyFont="1" applyBorder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0" fillId="0" borderId="0" xfId="1" applyNumberFormat="1" applyFont="1"/>
    <xf numFmtId="0" fontId="0" fillId="0" borderId="0" xfId="0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0" fillId="0" borderId="4" xfId="0" applyBorder="1"/>
    <xf numFmtId="164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164" fontId="0" fillId="2" borderId="0" xfId="1" applyNumberFormat="1" applyFont="1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right"/>
    </xf>
    <xf numFmtId="168" fontId="0" fillId="0" borderId="0" xfId="0" applyNumberFormat="1"/>
    <xf numFmtId="168" fontId="0" fillId="4" borderId="0" xfId="0" applyNumberFormat="1" applyFill="1"/>
    <xf numFmtId="166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5926A-E901-C942-A344-BE10D5B67854}">
  <dimension ref="B3:H31"/>
  <sheetViews>
    <sheetView topLeftCell="A6" zoomScale="125" workbookViewId="0">
      <selection activeCell="J13" sqref="J13"/>
    </sheetView>
  </sheetViews>
  <sheetFormatPr baseColWidth="10" defaultRowHeight="16" x14ac:dyDescent="0.2"/>
  <cols>
    <col min="3" max="3" width="18.33203125" customWidth="1"/>
    <col min="8" max="8" width="20.33203125" bestFit="1" customWidth="1"/>
  </cols>
  <sheetData>
    <row r="3" spans="2:8" x14ac:dyDescent="0.2">
      <c r="C3" t="s">
        <v>0</v>
      </c>
    </row>
    <row r="5" spans="2:8" x14ac:dyDescent="0.2">
      <c r="D5" t="s">
        <v>8</v>
      </c>
      <c r="E5" t="s">
        <v>9</v>
      </c>
    </row>
    <row r="6" spans="2:8" x14ac:dyDescent="0.2">
      <c r="C6" t="s">
        <v>1</v>
      </c>
      <c r="D6" t="s">
        <v>2</v>
      </c>
      <c r="E6" t="s">
        <v>3</v>
      </c>
    </row>
    <row r="7" spans="2:8" x14ac:dyDescent="0.2">
      <c r="B7" t="s">
        <v>6</v>
      </c>
      <c r="C7" t="s">
        <v>4</v>
      </c>
      <c r="D7">
        <v>40</v>
      </c>
      <c r="E7" s="2">
        <v>250</v>
      </c>
      <c r="F7">
        <f>SUM(D7:E7)</f>
        <v>290</v>
      </c>
    </row>
    <row r="8" spans="2:8" ht="17" thickBot="1" x14ac:dyDescent="0.25">
      <c r="B8" t="s">
        <v>7</v>
      </c>
      <c r="C8" t="s">
        <v>5</v>
      </c>
      <c r="D8" s="1">
        <v>420</v>
      </c>
      <c r="E8" s="3">
        <v>70</v>
      </c>
      <c r="F8">
        <f>SUM(D8:E8)</f>
        <v>490</v>
      </c>
      <c r="G8">
        <f>SUM(D7:E8)</f>
        <v>780</v>
      </c>
    </row>
    <row r="9" spans="2:8" x14ac:dyDescent="0.2">
      <c r="D9">
        <f>SUM(D7:D8)</f>
        <v>460</v>
      </c>
      <c r="E9">
        <f>SUM(E7:E8)</f>
        <v>320</v>
      </c>
    </row>
    <row r="12" spans="2:8" x14ac:dyDescent="0.2">
      <c r="D12" t="s">
        <v>10</v>
      </c>
      <c r="E12" s="4">
        <f>D9/G8</f>
        <v>0.58974358974358976</v>
      </c>
      <c r="G12" t="s">
        <v>14</v>
      </c>
      <c r="H12" s="4">
        <f>E26/E12</f>
        <v>8.6956521739130432E-2</v>
      </c>
    </row>
    <row r="13" spans="2:8" x14ac:dyDescent="0.2">
      <c r="D13" t="s">
        <v>11</v>
      </c>
      <c r="E13" s="4">
        <f>E9/G8</f>
        <v>0.41025641025641024</v>
      </c>
      <c r="G13" t="s">
        <v>15</v>
      </c>
      <c r="H13" s="4">
        <f>E28/E13</f>
        <v>0.78125000000000011</v>
      </c>
    </row>
    <row r="15" spans="2:8" x14ac:dyDescent="0.2">
      <c r="D15" t="s">
        <v>12</v>
      </c>
      <c r="E15" s="4">
        <f>F7/G8</f>
        <v>0.37179487179487181</v>
      </c>
      <c r="G15" t="s">
        <v>22</v>
      </c>
      <c r="H15" s="4">
        <f>E27/E12</f>
        <v>0.91304347826086951</v>
      </c>
    </row>
    <row r="16" spans="2:8" x14ac:dyDescent="0.2">
      <c r="D16" t="s">
        <v>13</v>
      </c>
      <c r="E16" s="4">
        <f>F8/G8</f>
        <v>0.62820512820512819</v>
      </c>
      <c r="G16" t="s">
        <v>23</v>
      </c>
      <c r="H16" s="4">
        <f>E29/E13</f>
        <v>0.21875</v>
      </c>
    </row>
    <row r="19" spans="3:8" x14ac:dyDescent="0.2">
      <c r="D19" t="s">
        <v>8</v>
      </c>
      <c r="E19" t="s">
        <v>9</v>
      </c>
      <c r="H19" t="s">
        <v>25</v>
      </c>
    </row>
    <row r="20" spans="3:8" x14ac:dyDescent="0.2">
      <c r="C20" t="s">
        <v>1</v>
      </c>
      <c r="D20" t="s">
        <v>2</v>
      </c>
      <c r="E20" t="s">
        <v>3</v>
      </c>
      <c r="H20" t="s">
        <v>21</v>
      </c>
    </row>
    <row r="21" spans="3:8" x14ac:dyDescent="0.2">
      <c r="C21" t="s">
        <v>4</v>
      </c>
      <c r="D21" s="5">
        <f>D7/G8</f>
        <v>5.128205128205128E-2</v>
      </c>
      <c r="E21" s="6">
        <f>E7/G8</f>
        <v>0.32051282051282054</v>
      </c>
    </row>
    <row r="22" spans="3:8" ht="17" thickBot="1" x14ac:dyDescent="0.25">
      <c r="C22" t="s">
        <v>5</v>
      </c>
      <c r="D22" s="7">
        <f>D8/G8</f>
        <v>0.53846153846153844</v>
      </c>
      <c r="E22" s="8">
        <f>E8/G8</f>
        <v>8.9743589743589744E-2</v>
      </c>
    </row>
    <row r="23" spans="3:8" x14ac:dyDescent="0.2">
      <c r="G23" t="s">
        <v>24</v>
      </c>
      <c r="H23" s="4">
        <f>H12*E15/E12</f>
        <v>5.4820415879017016E-2</v>
      </c>
    </row>
    <row r="24" spans="3:8" x14ac:dyDescent="0.2">
      <c r="D24" t="s">
        <v>16</v>
      </c>
      <c r="G24" t="s">
        <v>28</v>
      </c>
      <c r="H24" s="4">
        <f>H13*E15/E13</f>
        <v>0.70800781250000011</v>
      </c>
    </row>
    <row r="26" spans="3:8" x14ac:dyDescent="0.2">
      <c r="D26" t="s">
        <v>17</v>
      </c>
      <c r="E26" s="9">
        <f>D21</f>
        <v>5.128205128205128E-2</v>
      </c>
      <c r="G26" t="s">
        <v>29</v>
      </c>
      <c r="H26" s="4">
        <f>H15*E16/E12</f>
        <v>0.97258979206049134</v>
      </c>
    </row>
    <row r="27" spans="3:8" x14ac:dyDescent="0.2">
      <c r="D27" t="s">
        <v>18</v>
      </c>
      <c r="E27" s="9">
        <f>D22</f>
        <v>0.53846153846153844</v>
      </c>
      <c r="G27" t="s">
        <v>30</v>
      </c>
      <c r="H27" s="4">
        <f>H16*E16/E13</f>
        <v>0.33496093750000006</v>
      </c>
    </row>
    <row r="28" spans="3:8" x14ac:dyDescent="0.2">
      <c r="D28" t="s">
        <v>19</v>
      </c>
      <c r="E28" s="9">
        <f>E21</f>
        <v>0.32051282051282054</v>
      </c>
    </row>
    <row r="29" spans="3:8" x14ac:dyDescent="0.2">
      <c r="D29" t="s">
        <v>20</v>
      </c>
      <c r="E29" s="9">
        <f>E22</f>
        <v>8.9743589743589744E-2</v>
      </c>
      <c r="H29" t="s">
        <v>26</v>
      </c>
    </row>
    <row r="31" spans="3:8" x14ac:dyDescent="0.2">
      <c r="H31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06130-A7BC-A641-B2E3-F87555B7A989}">
  <dimension ref="B2:Q48"/>
  <sheetViews>
    <sheetView tabSelected="1" topLeftCell="B1" workbookViewId="0">
      <selection activeCell="I27" sqref="I27"/>
    </sheetView>
  </sheetViews>
  <sheetFormatPr baseColWidth="10" defaultRowHeight="16" x14ac:dyDescent="0.2"/>
  <cols>
    <col min="4" max="4" width="13.6640625" customWidth="1"/>
    <col min="5" max="5" width="12" customWidth="1"/>
    <col min="7" max="7" width="13.6640625" customWidth="1"/>
    <col min="8" max="8" width="13.33203125" customWidth="1"/>
    <col min="10" max="10" width="20.83203125" customWidth="1"/>
    <col min="12" max="12" width="17" customWidth="1"/>
    <col min="13" max="13" width="14.5" customWidth="1"/>
  </cols>
  <sheetData>
    <row r="2" spans="2:17" x14ac:dyDescent="0.2">
      <c r="B2" t="s">
        <v>31</v>
      </c>
      <c r="J2" t="s">
        <v>61</v>
      </c>
    </row>
    <row r="4" spans="2:17" x14ac:dyDescent="0.2">
      <c r="D4" s="10" t="s">
        <v>37</v>
      </c>
      <c r="E4" s="10" t="s">
        <v>38</v>
      </c>
    </row>
    <row r="5" spans="2:17" x14ac:dyDescent="0.2">
      <c r="D5" s="10" t="s">
        <v>35</v>
      </c>
      <c r="E5" s="10" t="s">
        <v>34</v>
      </c>
      <c r="K5" t="s">
        <v>62</v>
      </c>
      <c r="L5" t="s">
        <v>63</v>
      </c>
      <c r="M5" t="s">
        <v>64</v>
      </c>
      <c r="O5" s="23" t="s">
        <v>74</v>
      </c>
      <c r="P5" s="23"/>
      <c r="Q5" s="23"/>
    </row>
    <row r="6" spans="2:17" x14ac:dyDescent="0.2">
      <c r="B6" s="10" t="s">
        <v>39</v>
      </c>
      <c r="C6" s="11" t="s">
        <v>32</v>
      </c>
      <c r="D6">
        <v>2</v>
      </c>
      <c r="E6">
        <f>980-E7</f>
        <v>931</v>
      </c>
      <c r="F6">
        <f>SUM(D6:E6)</f>
        <v>933</v>
      </c>
      <c r="J6" t="s">
        <v>65</v>
      </c>
      <c r="O6" s="23"/>
      <c r="P6" s="23"/>
      <c r="Q6" s="23"/>
    </row>
    <row r="7" spans="2:17" x14ac:dyDescent="0.2">
      <c r="B7" s="10" t="s">
        <v>40</v>
      </c>
      <c r="C7" s="11" t="s">
        <v>33</v>
      </c>
      <c r="D7">
        <v>18</v>
      </c>
      <c r="E7">
        <v>49</v>
      </c>
      <c r="F7">
        <f>SUM(D7:E7)</f>
        <v>67</v>
      </c>
      <c r="O7" s="23"/>
      <c r="P7" s="23"/>
      <c r="Q7" s="23"/>
    </row>
    <row r="8" spans="2:17" x14ac:dyDescent="0.2">
      <c r="D8">
        <f>SUM(D6:D7)</f>
        <v>20</v>
      </c>
      <c r="E8">
        <f>SUM(E6:E7)</f>
        <v>980</v>
      </c>
      <c r="F8">
        <f>SUM(D6:E7)</f>
        <v>1000</v>
      </c>
      <c r="J8" t="s">
        <v>35</v>
      </c>
      <c r="L8">
        <v>-1000</v>
      </c>
      <c r="M8">
        <v>-8</v>
      </c>
    </row>
    <row r="9" spans="2:17" x14ac:dyDescent="0.2">
      <c r="J9" t="s">
        <v>34</v>
      </c>
      <c r="L9">
        <v>10</v>
      </c>
      <c r="M9">
        <v>-8</v>
      </c>
      <c r="O9" t="s">
        <v>75</v>
      </c>
    </row>
    <row r="10" spans="2:17" x14ac:dyDescent="0.2">
      <c r="D10" s="13" t="s">
        <v>48</v>
      </c>
      <c r="E10" s="13"/>
      <c r="G10" s="13" t="s">
        <v>49</v>
      </c>
      <c r="H10" s="13"/>
      <c r="O10" t="s">
        <v>76</v>
      </c>
    </row>
    <row r="11" spans="2:17" x14ac:dyDescent="0.2">
      <c r="J11" s="21" t="s">
        <v>66</v>
      </c>
      <c r="K11" s="21"/>
      <c r="L11" s="21"/>
      <c r="M11" s="21"/>
    </row>
    <row r="12" spans="2:17" x14ac:dyDescent="0.2">
      <c r="D12" t="s">
        <v>36</v>
      </c>
      <c r="E12" s="20">
        <f>D8/F8</f>
        <v>0.02</v>
      </c>
      <c r="G12" t="s">
        <v>44</v>
      </c>
      <c r="H12" s="12">
        <f>D7/F8</f>
        <v>1.7999999999999999E-2</v>
      </c>
    </row>
    <row r="13" spans="2:17" x14ac:dyDescent="0.2">
      <c r="D13" t="s">
        <v>41</v>
      </c>
      <c r="E13" s="12">
        <f>E8/F8</f>
        <v>0.98</v>
      </c>
      <c r="G13" t="s">
        <v>45</v>
      </c>
      <c r="H13" s="12">
        <f>D6/F8</f>
        <v>2E-3</v>
      </c>
      <c r="J13" t="s">
        <v>59</v>
      </c>
      <c r="K13" s="15">
        <v>0.26900000000000002</v>
      </c>
    </row>
    <row r="14" spans="2:17" x14ac:dyDescent="0.2">
      <c r="E14" s="12"/>
      <c r="H14" s="12"/>
      <c r="J14" t="s">
        <v>60</v>
      </c>
      <c r="K14" s="15">
        <v>0.73099999999999998</v>
      </c>
    </row>
    <row r="15" spans="2:17" x14ac:dyDescent="0.2">
      <c r="D15" t="s">
        <v>42</v>
      </c>
      <c r="E15" s="12">
        <f>F6/F8</f>
        <v>0.93300000000000005</v>
      </c>
      <c r="G15" t="s">
        <v>46</v>
      </c>
      <c r="H15" s="12">
        <f>E7/F8</f>
        <v>4.9000000000000002E-2</v>
      </c>
      <c r="O15" t="s">
        <v>72</v>
      </c>
      <c r="P15" t="s">
        <v>73</v>
      </c>
    </row>
    <row r="16" spans="2:17" x14ac:dyDescent="0.2">
      <c r="D16" t="s">
        <v>43</v>
      </c>
      <c r="E16" s="12">
        <f>F7/F8</f>
        <v>6.7000000000000004E-2</v>
      </c>
      <c r="G16" t="s">
        <v>47</v>
      </c>
      <c r="H16" s="12">
        <f>E6/F8</f>
        <v>0.93100000000000005</v>
      </c>
    </row>
    <row r="17" spans="4:16" x14ac:dyDescent="0.2">
      <c r="J17" t="s">
        <v>67</v>
      </c>
      <c r="K17" s="26">
        <f>K14*L9 + K13*L8</f>
        <v>-261.69</v>
      </c>
      <c r="L17" s="25" t="s">
        <v>70</v>
      </c>
      <c r="M17" s="25"/>
      <c r="O17" s="15">
        <v>0.26900000000000002</v>
      </c>
      <c r="P17" s="9">
        <v>0</v>
      </c>
    </row>
    <row r="18" spans="4:16" x14ac:dyDescent="0.2">
      <c r="D18" s="13" t="s">
        <v>50</v>
      </c>
      <c r="E18" s="13"/>
      <c r="G18" t="s">
        <v>51</v>
      </c>
      <c r="J18" s="22" t="s">
        <v>68</v>
      </c>
      <c r="K18" s="27">
        <f>K14*M9 + K13*M8</f>
        <v>-8</v>
      </c>
      <c r="L18" s="25" t="s">
        <v>71</v>
      </c>
      <c r="M18" s="25"/>
      <c r="O18" s="9">
        <v>0</v>
      </c>
      <c r="P18" s="9">
        <v>0.5</v>
      </c>
    </row>
    <row r="19" spans="4:16" ht="17" thickBot="1" x14ac:dyDescent="0.25"/>
    <row r="20" spans="4:16" x14ac:dyDescent="0.2">
      <c r="D20" s="16" t="s">
        <v>52</v>
      </c>
      <c r="E20" s="17">
        <f>H12/E12</f>
        <v>0.89999999999999991</v>
      </c>
      <c r="G20" t="s">
        <v>59</v>
      </c>
      <c r="H20" s="20">
        <f>E20*E12/E16</f>
        <v>0.26865671641791039</v>
      </c>
    </row>
    <row r="21" spans="4:16" ht="17" thickBot="1" x14ac:dyDescent="0.25">
      <c r="D21" s="18" t="s">
        <v>53</v>
      </c>
      <c r="E21" s="19">
        <f>H15/E13</f>
        <v>0.05</v>
      </c>
      <c r="G21" t="s">
        <v>60</v>
      </c>
      <c r="H21" s="12">
        <f>E21*E13/E16</f>
        <v>0.73134328358208955</v>
      </c>
      <c r="J21" s="24" t="s">
        <v>69</v>
      </c>
      <c r="K21" s="24"/>
      <c r="L21" s="24"/>
      <c r="M21" s="24"/>
    </row>
    <row r="22" spans="4:16" x14ac:dyDescent="0.2">
      <c r="J22" s="24"/>
      <c r="K22" s="24"/>
      <c r="L22" s="24"/>
      <c r="M22" s="24"/>
    </row>
    <row r="23" spans="4:16" x14ac:dyDescent="0.2">
      <c r="D23" t="s">
        <v>54</v>
      </c>
      <c r="E23" s="14">
        <f>H13/E12</f>
        <v>0.1</v>
      </c>
      <c r="J23" s="24"/>
      <c r="K23" s="24"/>
      <c r="L23" s="24"/>
      <c r="M23" s="24"/>
    </row>
    <row r="24" spans="4:16" x14ac:dyDescent="0.2">
      <c r="D24" t="s">
        <v>55</v>
      </c>
      <c r="E24" s="4">
        <f>H16/E13</f>
        <v>0.95000000000000007</v>
      </c>
      <c r="J24" s="24"/>
      <c r="K24" s="24"/>
      <c r="L24" s="24"/>
      <c r="M24" s="24"/>
    </row>
    <row r="26" spans="4:16" x14ac:dyDescent="0.2">
      <c r="N26" t="s">
        <v>80</v>
      </c>
    </row>
    <row r="27" spans="4:16" x14ac:dyDescent="0.2">
      <c r="D27" t="s">
        <v>56</v>
      </c>
      <c r="G27" t="s">
        <v>57</v>
      </c>
      <c r="K27" t="s">
        <v>77</v>
      </c>
      <c r="L27" t="s">
        <v>78</v>
      </c>
    </row>
    <row r="28" spans="4:16" x14ac:dyDescent="0.2">
      <c r="K28" s="4">
        <v>0</v>
      </c>
      <c r="L28">
        <f>(1-K28)*$L$9+K28*$L$8</f>
        <v>10</v>
      </c>
    </row>
    <row r="29" spans="4:16" x14ac:dyDescent="0.2">
      <c r="G29" t="s">
        <v>58</v>
      </c>
      <c r="K29" s="4">
        <v>0.05</v>
      </c>
      <c r="L29">
        <f t="shared" ref="L29:L48" si="0">(1-K29)*$L$9+K29*$L$8</f>
        <v>-40.5</v>
      </c>
      <c r="N29">
        <v>-8</v>
      </c>
    </row>
    <row r="30" spans="4:16" x14ac:dyDescent="0.2">
      <c r="K30" s="4">
        <v>0.1</v>
      </c>
      <c r="L30">
        <f t="shared" si="0"/>
        <v>-91</v>
      </c>
    </row>
    <row r="31" spans="4:16" x14ac:dyDescent="0.2">
      <c r="K31" s="4">
        <v>0.15</v>
      </c>
      <c r="L31">
        <f t="shared" si="0"/>
        <v>-141.5</v>
      </c>
      <c r="N31" t="s">
        <v>79</v>
      </c>
    </row>
    <row r="32" spans="4:16" x14ac:dyDescent="0.2">
      <c r="K32" s="4">
        <v>0.2</v>
      </c>
      <c r="L32">
        <f t="shared" si="0"/>
        <v>-192</v>
      </c>
    </row>
    <row r="33" spans="11:15" x14ac:dyDescent="0.2">
      <c r="K33" s="4">
        <v>0.25</v>
      </c>
      <c r="L33">
        <f t="shared" si="0"/>
        <v>-242.5</v>
      </c>
      <c r="N33" t="s">
        <v>81</v>
      </c>
    </row>
    <row r="34" spans="11:15" x14ac:dyDescent="0.2">
      <c r="K34" s="4">
        <v>0.3</v>
      </c>
      <c r="L34">
        <f t="shared" si="0"/>
        <v>-293</v>
      </c>
    </row>
    <row r="35" spans="11:15" x14ac:dyDescent="0.2">
      <c r="K35" s="4">
        <v>0.35</v>
      </c>
      <c r="L35">
        <f t="shared" si="0"/>
        <v>-343.5</v>
      </c>
      <c r="N35" t="s">
        <v>82</v>
      </c>
    </row>
    <row r="36" spans="11:15" x14ac:dyDescent="0.2">
      <c r="K36" s="4">
        <v>0.4</v>
      </c>
      <c r="L36">
        <f t="shared" si="0"/>
        <v>-394</v>
      </c>
    </row>
    <row r="37" spans="11:15" x14ac:dyDescent="0.2">
      <c r="K37" s="4">
        <v>0.45</v>
      </c>
      <c r="L37">
        <f t="shared" si="0"/>
        <v>-444.5</v>
      </c>
      <c r="N37" t="s">
        <v>84</v>
      </c>
    </row>
    <row r="38" spans="11:15" x14ac:dyDescent="0.2">
      <c r="K38" s="4">
        <v>0.5</v>
      </c>
      <c r="L38">
        <f t="shared" si="0"/>
        <v>-495</v>
      </c>
    </row>
    <row r="39" spans="11:15" x14ac:dyDescent="0.2">
      <c r="K39" s="4">
        <v>0.55000000000000004</v>
      </c>
      <c r="L39">
        <f t="shared" si="0"/>
        <v>-545.5</v>
      </c>
      <c r="N39" t="s">
        <v>83</v>
      </c>
      <c r="O39" s="28">
        <f>(8 + 10) / (10 + 1000)</f>
        <v>1.782178217821782E-2</v>
      </c>
    </row>
    <row r="40" spans="11:15" x14ac:dyDescent="0.2">
      <c r="K40" s="4">
        <v>0.6</v>
      </c>
      <c r="L40">
        <f t="shared" si="0"/>
        <v>-596</v>
      </c>
    </row>
    <row r="41" spans="11:15" x14ac:dyDescent="0.2">
      <c r="K41" s="4">
        <v>0.65</v>
      </c>
      <c r="L41">
        <f t="shared" si="0"/>
        <v>-646.5</v>
      </c>
    </row>
    <row r="42" spans="11:15" x14ac:dyDescent="0.2">
      <c r="K42" s="4">
        <v>0.7</v>
      </c>
      <c r="L42">
        <f t="shared" si="0"/>
        <v>-697</v>
      </c>
    </row>
    <row r="43" spans="11:15" x14ac:dyDescent="0.2">
      <c r="K43" s="4">
        <v>0.75</v>
      </c>
      <c r="L43">
        <f t="shared" si="0"/>
        <v>-747.5</v>
      </c>
    </row>
    <row r="44" spans="11:15" x14ac:dyDescent="0.2">
      <c r="K44" s="4">
        <v>0.8</v>
      </c>
      <c r="L44">
        <f t="shared" si="0"/>
        <v>-798</v>
      </c>
    </row>
    <row r="45" spans="11:15" x14ac:dyDescent="0.2">
      <c r="K45" s="4">
        <v>0.85</v>
      </c>
      <c r="L45">
        <f t="shared" si="0"/>
        <v>-848.5</v>
      </c>
    </row>
    <row r="46" spans="11:15" x14ac:dyDescent="0.2">
      <c r="K46" s="4">
        <v>0.9</v>
      </c>
      <c r="L46">
        <f t="shared" si="0"/>
        <v>-899</v>
      </c>
    </row>
    <row r="47" spans="11:15" x14ac:dyDescent="0.2">
      <c r="K47" s="4">
        <v>0.95</v>
      </c>
      <c r="L47">
        <f t="shared" si="0"/>
        <v>-949.5</v>
      </c>
    </row>
    <row r="48" spans="11:15" x14ac:dyDescent="0.2">
      <c r="K48" s="4">
        <v>1</v>
      </c>
      <c r="L48">
        <f t="shared" si="0"/>
        <v>-1000</v>
      </c>
    </row>
  </sheetData>
  <mergeCells count="8">
    <mergeCell ref="O5:Q7"/>
    <mergeCell ref="D10:E10"/>
    <mergeCell ref="G10:H10"/>
    <mergeCell ref="D18:E18"/>
    <mergeCell ref="J11:M11"/>
    <mergeCell ref="J21:M24"/>
    <mergeCell ref="L17:M17"/>
    <mergeCell ref="L18:M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Titanic</vt:lpstr>
      <vt:lpstr>Pista Aerea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Badillo Salas</dc:creator>
  <cp:lastModifiedBy>Alan Badillo Salas</cp:lastModifiedBy>
  <dcterms:created xsi:type="dcterms:W3CDTF">2026-10-26T18:43:38Z</dcterms:created>
  <dcterms:modified xsi:type="dcterms:W3CDTF">2026-10-27T16:53:50Z</dcterms:modified>
</cp:coreProperties>
</file>